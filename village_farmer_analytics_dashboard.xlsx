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bhay\OneDrive\Desktop\excel project\"/>
    </mc:Choice>
  </mc:AlternateContent>
  <xr:revisionPtr revIDLastSave="0" documentId="13_ncr:1_{A4BD52B4-528C-46EF-A619-C2CBB312E3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kboard" sheetId="1" r:id="rId1"/>
    <sheet name="dataset" sheetId="2" r:id="rId2"/>
    <sheet name="Data Notes" sheetId="3" r:id="rId3"/>
    <sheet name="insight" sheetId="6" r:id="rId4"/>
  </sheets>
  <definedNames>
    <definedName name="_xlnm._FilterDatabase" localSheetId="1" hidden="1">dataset!$B$1:$P$743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6" l="1"/>
  <c r="D18" i="6"/>
  <c r="C18" i="6"/>
</calcChain>
</file>

<file path=xl/sharedStrings.xml><?xml version="1.0" encoding="utf-8"?>
<sst xmlns="http://schemas.openxmlformats.org/spreadsheetml/2006/main" count="7504" uniqueCount="1313">
  <si>
    <t>Village Name</t>
  </si>
  <si>
    <t>Beneficiary ID</t>
  </si>
  <si>
    <t>Family Head Name</t>
  </si>
  <si>
    <t>Father/Husband Name</t>
  </si>
  <si>
    <t>Gender</t>
  </si>
  <si>
    <t>Category</t>
  </si>
  <si>
    <t>Farmar  Category</t>
  </si>
  <si>
    <t>Photo Uploaded</t>
  </si>
  <si>
    <t>Photo Approved</t>
  </si>
  <si>
    <t>Age</t>
  </si>
  <si>
    <t>Land_Size_Acres</t>
  </si>
  <si>
    <t>Land_Ownership</t>
  </si>
  <si>
    <t>Main_Crop</t>
  </si>
  <si>
    <t>Annual_Farming_Income_INR</t>
  </si>
  <si>
    <t>MARARTOLA</t>
  </si>
  <si>
    <t>Helu Atmaram Pache</t>
  </si>
  <si>
    <t>Atmaram Pache</t>
  </si>
  <si>
    <t>Male</t>
  </si>
  <si>
    <t>APL</t>
  </si>
  <si>
    <t>Small &amp; Marginal Farmers</t>
  </si>
  <si>
    <t>Yes</t>
  </si>
  <si>
    <t>Owned</t>
  </si>
  <si>
    <t>Rice</t>
  </si>
  <si>
    <t>Anil Raut</t>
  </si>
  <si>
    <t>Mehtar</t>
  </si>
  <si>
    <t>BPL</t>
  </si>
  <si>
    <t>ST</t>
  </si>
  <si>
    <t>Soybean</t>
  </si>
  <si>
    <t>Babulal Chambharu Matre</t>
  </si>
  <si>
    <t>Chambharu Matre</t>
  </si>
  <si>
    <t>Landless with homestead</t>
  </si>
  <si>
    <t>No agricultural land</t>
  </si>
  <si>
    <t>Not applicable</t>
  </si>
  <si>
    <t>Babulal Ganesh Nagfase</t>
  </si>
  <si>
    <t>Ganesh Nagfase</t>
  </si>
  <si>
    <t>Other</t>
  </si>
  <si>
    <t>Partly owned / partly leased</t>
  </si>
  <si>
    <t>Badashaha Gorelal Mane</t>
  </si>
  <si>
    <t>Gorelal Mane</t>
  </si>
  <si>
    <t>Baku Dongaru Singandhupe</t>
  </si>
  <si>
    <t>Dongaru Singandhupe</t>
  </si>
  <si>
    <t>Tur (Pigeon Pea)</t>
  </si>
  <si>
    <t>Balaram Maharu Bahe</t>
  </si>
  <si>
    <t>Maharu Bahe</t>
  </si>
  <si>
    <t>Bhajanlal Laxaman Pache</t>
  </si>
  <si>
    <t>Laxaman Pache</t>
  </si>
  <si>
    <t>Bhaulal Chambhu Matre</t>
  </si>
  <si>
    <t>Chambhu Matre</t>
  </si>
  <si>
    <t>Bhojalal Laxaman Pache</t>
  </si>
  <si>
    <t>Bhurya Tekalal Mane</t>
  </si>
  <si>
    <t>Tekalal Mane</t>
  </si>
  <si>
    <t>Biru Hagru Pache</t>
  </si>
  <si>
    <t>Hagru Pache</t>
  </si>
  <si>
    <t>Bisan Dasaram Pache</t>
  </si>
  <si>
    <t>Dasaram Pache</t>
  </si>
  <si>
    <t>Chickpea</t>
  </si>
  <si>
    <t>Chambharu Baipar Singndhupe</t>
  </si>
  <si>
    <t>Baipar Singndhupe</t>
  </si>
  <si>
    <t>Leased</t>
  </si>
  <si>
    <t>Wheat</t>
  </si>
  <si>
    <t>Dasru Magru Pache</t>
  </si>
  <si>
    <t>Magru Pache</t>
  </si>
  <si>
    <t>Dhannalal Isulal Matre</t>
  </si>
  <si>
    <t>Isulal Matre</t>
  </si>
  <si>
    <t>Dulichand Dongaru Singandhupe</t>
  </si>
  <si>
    <t>Fekan Chambharu Bahe</t>
  </si>
  <si>
    <t>Chambharu Bahe</t>
  </si>
  <si>
    <t>Firtu Chandu Pache</t>
  </si>
  <si>
    <t>Chandu Pache</t>
  </si>
  <si>
    <t>Fulichand Pandu Matre</t>
  </si>
  <si>
    <t>Pandu Matre</t>
  </si>
  <si>
    <t>Ganesh Karu Matre</t>
  </si>
  <si>
    <t>Karu Matre</t>
  </si>
  <si>
    <t>Gehu Karu Matre</t>
  </si>
  <si>
    <t>Vegetables</t>
  </si>
  <si>
    <t>Gendalal Umed Matre</t>
  </si>
  <si>
    <t>Umed Matre</t>
  </si>
  <si>
    <t>Ghansilal Chandu Pache</t>
  </si>
  <si>
    <t>Govind Baiga Matre</t>
  </si>
  <si>
    <t>Baiga Matre</t>
  </si>
  <si>
    <t>Guniiram Hanas Nagfase</t>
  </si>
  <si>
    <t>Hanas Nagfase</t>
  </si>
  <si>
    <t>Guru Lakhan Matre</t>
  </si>
  <si>
    <t>Lakhan Matre</t>
  </si>
  <si>
    <t>Hansu Maroti Nagfase</t>
  </si>
  <si>
    <t>Maroti Nagfase</t>
  </si>
  <si>
    <t>Hiralal Bahe</t>
  </si>
  <si>
    <t>Maharu</t>
  </si>
  <si>
    <t>Female</t>
  </si>
  <si>
    <t>Indal Gajan Meshram</t>
  </si>
  <si>
    <t>Gajan Meshram</t>
  </si>
  <si>
    <t>Jaggu Bhaiyalal Dadare</t>
  </si>
  <si>
    <t>Bhaiyalal Dadare</t>
  </si>
  <si>
    <t>Jivan Urkuda Matre</t>
  </si>
  <si>
    <t>Urkuda Matre</t>
  </si>
  <si>
    <t>Kaihni Mairaji Matre</t>
  </si>
  <si>
    <t>Mairaji Matre</t>
  </si>
  <si>
    <t>Kamaus Munnalal Mane</t>
  </si>
  <si>
    <t>Munnalal Mane</t>
  </si>
  <si>
    <t>Karu Malu Mane</t>
  </si>
  <si>
    <t>Malu Mane</t>
  </si>
  <si>
    <t>Kisan Dasaram Pache</t>
  </si>
  <si>
    <t>Kisan Muka Matre</t>
  </si>
  <si>
    <t>Muka Matre</t>
  </si>
  <si>
    <t>Kumar Baipar Singandhupe</t>
  </si>
  <si>
    <t>Baipar Singandhupe</t>
  </si>
  <si>
    <t>Lakhan Sadu Matre</t>
  </si>
  <si>
    <t>Sadu Matre</t>
  </si>
  <si>
    <t>Likhiram Dhondu Bhoyar</t>
  </si>
  <si>
    <t>Dhondu Bhoyar</t>
  </si>
  <si>
    <t>Magru Haru Pache</t>
  </si>
  <si>
    <t>Haru Pache</t>
  </si>
  <si>
    <t>Maharu Bhandari Pache</t>
  </si>
  <si>
    <t>Bhandari Pache</t>
  </si>
  <si>
    <t>Mandas Fatte Matre</t>
  </si>
  <si>
    <t>Fatte Matre</t>
  </si>
  <si>
    <t>Maniram Harichand Matre</t>
  </si>
  <si>
    <t>Harichand Matre</t>
  </si>
  <si>
    <t>Mehatrinbai Housalal Mane</t>
  </si>
  <si>
    <t>Housalal Mane</t>
  </si>
  <si>
    <t>Women Headed HH</t>
  </si>
  <si>
    <t>Motial Jaggu Dadare</t>
  </si>
  <si>
    <t>Jaggu Dadare</t>
  </si>
  <si>
    <t>Motiram Jagan Meshram</t>
  </si>
  <si>
    <t>Jagan Meshram</t>
  </si>
  <si>
    <t>Narayan Jagan Meshram</t>
  </si>
  <si>
    <t>Pandu Sukau Mane</t>
  </si>
  <si>
    <t>Sukau Mane</t>
  </si>
  <si>
    <t>Pardes Matru Matre</t>
  </si>
  <si>
    <t>Matru Matre</t>
  </si>
  <si>
    <t>Pardesh Urkuda Matre</t>
  </si>
  <si>
    <t>Patiram Laxaman Pache</t>
  </si>
  <si>
    <t>Prabhu Dhondu Bhoyar</t>
  </si>
  <si>
    <t>Prasaram Harelal Mane</t>
  </si>
  <si>
    <t>Harelal Mane</t>
  </si>
  <si>
    <t>Prasharam Laxsiram Bhoyar</t>
  </si>
  <si>
    <t>Laxsiram Bhoyar</t>
  </si>
  <si>
    <t>Prasu Laxaman Bhoyar</t>
  </si>
  <si>
    <t>Laxaman Bhoyar</t>
  </si>
  <si>
    <t>Pyarelal Zagdu Pache</t>
  </si>
  <si>
    <t>Zagdu Pache</t>
  </si>
  <si>
    <t>Rajman Bhuriya Mane</t>
  </si>
  <si>
    <t>Bhuriya Mane</t>
  </si>
  <si>
    <t>Rajman Hiralal Matre</t>
  </si>
  <si>
    <t>Hiralal Matre</t>
  </si>
  <si>
    <t>Raju Tekalal Mane</t>
  </si>
  <si>
    <t>Rambakash Laxman Pache</t>
  </si>
  <si>
    <t>Laxman Pache</t>
  </si>
  <si>
    <t>Ramdas Fate Matre</t>
  </si>
  <si>
    <t>Fate Matre</t>
  </si>
  <si>
    <t>Rameshwar Ramchand Matre</t>
  </si>
  <si>
    <t>Ramchand Matre</t>
  </si>
  <si>
    <t>Ramprasad Rupchand Matre</t>
  </si>
  <si>
    <t>Rupchand Matre</t>
  </si>
  <si>
    <t>Rukan Fandi Pache</t>
  </si>
  <si>
    <t>Fandi Pache</t>
  </si>
  <si>
    <t>Rupchand Mairaji Matre</t>
  </si>
  <si>
    <t>Sagulal Shamlal Nagfase</t>
  </si>
  <si>
    <t>Shamlal Nagfase</t>
  </si>
  <si>
    <t>Sahejalal Jagan Matre</t>
  </si>
  <si>
    <t>Jagan Matre</t>
  </si>
  <si>
    <t>Saktu Bhandari Pache</t>
  </si>
  <si>
    <t>Saktu Goundu Marde</t>
  </si>
  <si>
    <t>Goundu Marde</t>
  </si>
  <si>
    <t>Shamlal Chambharu Matre</t>
  </si>
  <si>
    <t>Shamlal Sakhatu Nagfase</t>
  </si>
  <si>
    <t>Sakhatu Nagfase</t>
  </si>
  <si>
    <t>Sonelal Brijalal Kainawat</t>
  </si>
  <si>
    <t>Brijalal Kainawat</t>
  </si>
  <si>
    <t>Tekalal Sude Mane</t>
  </si>
  <si>
    <t>Sude Mane</t>
  </si>
  <si>
    <t>Tiju Hagru Pache</t>
  </si>
  <si>
    <t>Toku Tikalu Matre</t>
  </si>
  <si>
    <t>Tikalu Matre</t>
  </si>
  <si>
    <t>Tulsidas Hans Nagfase</t>
  </si>
  <si>
    <t>Hans Nagfase</t>
  </si>
  <si>
    <t>Umrao Baipar Singandhupe</t>
  </si>
  <si>
    <t>Zagdu Tikalu Pache</t>
  </si>
  <si>
    <t>Tikalu Pache</t>
  </si>
  <si>
    <t>TEDHAVA</t>
  </si>
  <si>
    <t>Ajay Nawal Kawre</t>
  </si>
  <si>
    <t>Nawal</t>
  </si>
  <si>
    <t>Ajay Shivacharan Ghodeshwar</t>
  </si>
  <si>
    <t>Shivacharan Ghodeshwar</t>
  </si>
  <si>
    <t>SC</t>
  </si>
  <si>
    <t>Akhadu Bhivram Ganvir</t>
  </si>
  <si>
    <t>Bhivram Ganvir</t>
  </si>
  <si>
    <t>Amit Nihalchand Turkar</t>
  </si>
  <si>
    <t>Nihalchand Turkar</t>
  </si>
  <si>
    <t>Anandibai Nawal Matre</t>
  </si>
  <si>
    <t>Nawal Matre</t>
  </si>
  <si>
    <t>Anantram Bhiva Vasnik</t>
  </si>
  <si>
    <t>Bhiva Vasnik</t>
  </si>
  <si>
    <t>Anil Thakare</t>
  </si>
  <si>
    <t>Fatulal</t>
  </si>
  <si>
    <t>Cotton</t>
  </si>
  <si>
    <t>Anil Shobharam Matre</t>
  </si>
  <si>
    <t>Shobharam</t>
  </si>
  <si>
    <t>Asaram Ramchand Matre</t>
  </si>
  <si>
    <t>Ramchand</t>
  </si>
  <si>
    <t>Asaram Suka Turkar</t>
  </si>
  <si>
    <t>Suka Turkar</t>
  </si>
  <si>
    <t>Ashik Sukhadas Gajbhiye</t>
  </si>
  <si>
    <t>Sukhadas Gajbhiye</t>
  </si>
  <si>
    <t>Ashok Adaku Vasnik</t>
  </si>
  <si>
    <t>Adaku Vasnik</t>
  </si>
  <si>
    <t>Ashok Laxaman Sonwane</t>
  </si>
  <si>
    <t>Laxaman Sonwane</t>
  </si>
  <si>
    <t>Babulal Bandu Bisen</t>
  </si>
  <si>
    <t>Bandu Bisen</t>
  </si>
  <si>
    <t>Babulal Fagalal Thakare</t>
  </si>
  <si>
    <t>Fagalal</t>
  </si>
  <si>
    <t>Babulal Mayaram Tekam</t>
  </si>
  <si>
    <t>Mayaram Tekam</t>
  </si>
  <si>
    <t>Babulal Tejalal Turkar</t>
  </si>
  <si>
    <t>Tejalal Turkar</t>
  </si>
  <si>
    <t>GENERAL</t>
  </si>
  <si>
    <t>Bansilal Hajari Singandhupe</t>
  </si>
  <si>
    <t>Hajari Singandhupe</t>
  </si>
  <si>
    <t>Bansilal Hari Pihare</t>
  </si>
  <si>
    <t>Hari Pihare</t>
  </si>
  <si>
    <t>Baranbai Beniram Ganvir</t>
  </si>
  <si>
    <t>Beniram Ganvir</t>
  </si>
  <si>
    <t>Chandhu Turkar</t>
  </si>
  <si>
    <t>Basantabai Turkar</t>
  </si>
  <si>
    <t>Gendlal</t>
  </si>
  <si>
    <t>Basantrai Jagalal Patle</t>
  </si>
  <si>
    <t>Jagalal Patle</t>
  </si>
  <si>
    <t>Basantray Beniram Turkar</t>
  </si>
  <si>
    <t>Beniram Turkar</t>
  </si>
  <si>
    <t>Baytra Dogaru Bisen</t>
  </si>
  <si>
    <t>Dogaru Bisen</t>
  </si>
  <si>
    <t>Bhagawat Parsaram Ambadare</t>
  </si>
  <si>
    <t>Parsaram Ambadare</t>
  </si>
  <si>
    <t>Bhagawat Thuna Kolhatkar</t>
  </si>
  <si>
    <t>Thuna Kolhatkar</t>
  </si>
  <si>
    <t>Bhakachand Rupchand Sonwane</t>
  </si>
  <si>
    <t>Rupchand Sonwane</t>
  </si>
  <si>
    <t>Bharat Sadu Sonwane</t>
  </si>
  <si>
    <t>Sadu Sonwane</t>
  </si>
  <si>
    <t>Bhaudas Chandhu Ganvir</t>
  </si>
  <si>
    <t>Chandhu Ganvir</t>
  </si>
  <si>
    <t>Bhaulal Lahuram Meshram</t>
  </si>
  <si>
    <t>Lahuram Meshram</t>
  </si>
  <si>
    <t>Bhaulal Mithuji Rahangadale</t>
  </si>
  <si>
    <t>Mithuji Rahangadale</t>
  </si>
  <si>
    <t>Bhaulal Narayan</t>
  </si>
  <si>
    <t>Narayan Bisen</t>
  </si>
  <si>
    <t>Bhaulal Narayan Bisen</t>
  </si>
  <si>
    <t>Bhaulal Rajaram Turkar</t>
  </si>
  <si>
    <t>Rajaram Turkar</t>
  </si>
  <si>
    <t>Bhayyalal Mohanlal Turkar</t>
  </si>
  <si>
    <t>Mohanlal Turkar</t>
  </si>
  <si>
    <t>Bhivalal Munnalal Dudhabavane</t>
  </si>
  <si>
    <t>Munnalal Dudhabavane</t>
  </si>
  <si>
    <t>Bhivalal Tantu Patle</t>
  </si>
  <si>
    <t>Tantu Patle</t>
  </si>
  <si>
    <t>Bhivaram Asaram Bisen</t>
  </si>
  <si>
    <t>Asaram Bisen</t>
  </si>
  <si>
    <t>Bhivlal Bhika Bisen</t>
  </si>
  <si>
    <t>Bhika Bisen</t>
  </si>
  <si>
    <t>Bhiwalal Hiramansao Bijewar</t>
  </si>
  <si>
    <t>Hiramansao Bijewar</t>
  </si>
  <si>
    <t>Bhojalal Tularam Turkar</t>
  </si>
  <si>
    <t>Tularam Turkar</t>
  </si>
  <si>
    <t>Bhojlal Naru Mane</t>
  </si>
  <si>
    <t>Naru</t>
  </si>
  <si>
    <t>Bhulal Brijalal Turkar</t>
  </si>
  <si>
    <t>Brijalal Turkar</t>
  </si>
  <si>
    <t>Bhumaki Gautam Raut</t>
  </si>
  <si>
    <t>Gautam Raut</t>
  </si>
  <si>
    <t>Bhumeshwar Goma Hatele</t>
  </si>
  <si>
    <t>Goma Hatele</t>
  </si>
  <si>
    <t>Bhumeshwar Hemraj Thakare</t>
  </si>
  <si>
    <t>Hemraj Thakare</t>
  </si>
  <si>
    <t>Bhurya Kawadu Sonwane</t>
  </si>
  <si>
    <t>Kawadu Sonwane</t>
  </si>
  <si>
    <t>Bisaram Pirmalal Amabadare</t>
  </si>
  <si>
    <t>Pirmalal Amabadare</t>
  </si>
  <si>
    <t>Brijalal Bandu Bisen</t>
  </si>
  <si>
    <t>Brijalal Bhudhusaw Borkar</t>
  </si>
  <si>
    <t>Bhudhusaw Borkar</t>
  </si>
  <si>
    <t>Buvalal Babulal Turkar</t>
  </si>
  <si>
    <t>Babulal Turkar</t>
  </si>
  <si>
    <t>Chainalal Premalal Rinayat</t>
  </si>
  <si>
    <t>Premalal Rinayat</t>
  </si>
  <si>
    <t>Chambharu Fadis Matre</t>
  </si>
  <si>
    <t>Fadis Matre</t>
  </si>
  <si>
    <t>Chamrulal Puranalal Shribhadri</t>
  </si>
  <si>
    <t>Puranalal Shribhadri</t>
  </si>
  <si>
    <t>Chandan Fadis Matre</t>
  </si>
  <si>
    <t>Gunwantrai Gite</t>
  </si>
  <si>
    <t>Chandrasen Jiyalal Ganvir</t>
  </si>
  <si>
    <t>Jiyalal Ganvir</t>
  </si>
  <si>
    <t>Chandu Ghansyam Pache</t>
  </si>
  <si>
    <t>Ghansyam Pache</t>
  </si>
  <si>
    <t>Chandu Kisan Meshram</t>
  </si>
  <si>
    <t>Kisan Meshram</t>
  </si>
  <si>
    <t>Chandu Thuna Neware</t>
  </si>
  <si>
    <t>Thuna Neware</t>
  </si>
  <si>
    <t>Chandulal Bika Bisen</t>
  </si>
  <si>
    <t>Bika Bisen</t>
  </si>
  <si>
    <t>Charandas Premalal Choude</t>
  </si>
  <si>
    <t>Premalal Choude</t>
  </si>
  <si>
    <t>Chetan Nawal Matre</t>
  </si>
  <si>
    <t>Chhaganprasad Yadoprasad Pande</t>
  </si>
  <si>
    <t>Yadoprasad Pande</t>
  </si>
  <si>
    <t>Chhanganlal Premalal Rinayat</t>
  </si>
  <si>
    <t>Chhatrapti Maniram Dhuware</t>
  </si>
  <si>
    <t>Maniram Dhuware</t>
  </si>
  <si>
    <t>Chhotelal Bhaiyyalal Bisen</t>
  </si>
  <si>
    <t>Bhaiyyalal Bisen</t>
  </si>
  <si>
    <t>Chhotelal Bholaram Rane</t>
  </si>
  <si>
    <t>Bholaram Rane</t>
  </si>
  <si>
    <t>Chitaman Bandu Bisen</t>
  </si>
  <si>
    <t>Chitrarekaha Khurmilal Turkar</t>
  </si>
  <si>
    <t>Dulichand Khadekar</t>
  </si>
  <si>
    <t>Chunnilal Antram Turkar</t>
  </si>
  <si>
    <t>Antram Turkar</t>
  </si>
  <si>
    <t>Dalapat Jivan Turkar</t>
  </si>
  <si>
    <t>Jivan Turkar</t>
  </si>
  <si>
    <t>Dariyasao Rajaram Bijewar</t>
  </si>
  <si>
    <t>Rajaram Bijewar</t>
  </si>
  <si>
    <t>Dasaram Ramlal Turkar</t>
  </si>
  <si>
    <t>Ramlal Turkar</t>
  </si>
  <si>
    <t>Dasarath Narayan Matre</t>
  </si>
  <si>
    <t>Narayan Matre</t>
  </si>
  <si>
    <t>Daulatprasad Sudarlal Pande</t>
  </si>
  <si>
    <t>Sudarlal Pande</t>
  </si>
  <si>
    <t>Dauvalat Gariba Turkar</t>
  </si>
  <si>
    <t>Gariba Turkar</t>
  </si>
  <si>
    <t>Debilal Premlal Dhuware</t>
  </si>
  <si>
    <t>Premlal Dhuware</t>
  </si>
  <si>
    <t>Devadas Dhundha Kolhatkar</t>
  </si>
  <si>
    <t>Dhundha Kolhatkar</t>
  </si>
  <si>
    <t>Devakanbai Gokulsao Bisen</t>
  </si>
  <si>
    <t>Gokulsao Bisen</t>
  </si>
  <si>
    <t>Devraj Atmaram Amabadare</t>
  </si>
  <si>
    <t>Atmaram Amabadare</t>
  </si>
  <si>
    <t>Devshwar Goma Hatele</t>
  </si>
  <si>
    <t>Dhanlal Zingar Neware</t>
  </si>
  <si>
    <t>Zingar Neware</t>
  </si>
  <si>
    <t>Dharamdra Surajalal Kolhatkar</t>
  </si>
  <si>
    <t>Surajalal Kolhatkar</t>
  </si>
  <si>
    <t>Dhiniram Chambhru Ganvir</t>
  </si>
  <si>
    <t>Chambhru Ganvir</t>
  </si>
  <si>
    <t>Dhondusaw Budhusaw Borkar</t>
  </si>
  <si>
    <t>Budhusaw Borkar</t>
  </si>
  <si>
    <t>Laxaman Turkar</t>
  </si>
  <si>
    <t>Dhurpatabai Bhaulal Matre</t>
  </si>
  <si>
    <t>Bhaulal</t>
  </si>
  <si>
    <t>Digambar Chimulal Turkar</t>
  </si>
  <si>
    <t>Chimulal</t>
  </si>
  <si>
    <t>Dilip Sukadas Gajbhiye</t>
  </si>
  <si>
    <t>Sukadas Gajbhiye</t>
  </si>
  <si>
    <t>Dilip Surjalal Dhuware</t>
  </si>
  <si>
    <t>Surjalal Dhuware</t>
  </si>
  <si>
    <t>Dinesh Rekhalal Kolhatkar</t>
  </si>
  <si>
    <t>Rekhalal Kolhatkar</t>
  </si>
  <si>
    <t>Dulichand Sukaji Turkar</t>
  </si>
  <si>
    <t>Sukaji Turkar</t>
  </si>
  <si>
    <t>Maize</t>
  </si>
  <si>
    <t>Durgalal Budhan Turkar</t>
  </si>
  <si>
    <t>Budhan Turkar</t>
  </si>
  <si>
    <t>Durgaprasad Puranalal Turkar</t>
  </si>
  <si>
    <t>Puranlal Turkar</t>
  </si>
  <si>
    <t>Durgesh Piratlal Bisen</t>
  </si>
  <si>
    <t>Piratlal Bisen</t>
  </si>
  <si>
    <t>Duryodhan Bhujan Sinhamare</t>
  </si>
  <si>
    <t>Bhujan Sinhamare</t>
  </si>
  <si>
    <t>Fattulal Raman Bisen</t>
  </si>
  <si>
    <t>Raman Bisen</t>
  </si>
  <si>
    <t>Fuleshwari Ghansham Sonwane</t>
  </si>
  <si>
    <t>Ghansham Sonwane</t>
  </si>
  <si>
    <t>Fulichand Nathuji Turkar</t>
  </si>
  <si>
    <t>Nathuji Turkar</t>
  </si>
  <si>
    <t>Fulichand Turkar</t>
  </si>
  <si>
    <t>Gajanan Punaji Bangare</t>
  </si>
  <si>
    <t>Punaji Bangare</t>
  </si>
  <si>
    <t>Gajendra Dhanlal Turkar</t>
  </si>
  <si>
    <t>Dhanlal Turkar</t>
  </si>
  <si>
    <t>Gajendra Turkar</t>
  </si>
  <si>
    <t>Dhanlal</t>
  </si>
  <si>
    <t>Ganesh Harichand Patle</t>
  </si>
  <si>
    <t>Harichand Patle</t>
  </si>
  <si>
    <t>Ganesh Radhelal Katre</t>
  </si>
  <si>
    <t>Radhelal</t>
  </si>
  <si>
    <t>Gautam Kasiram Raut</t>
  </si>
  <si>
    <t>Kasiram Raut</t>
  </si>
  <si>
    <t>Gendalal Bhika Bisen</t>
  </si>
  <si>
    <t>Gendalal Dungan Rahangadale</t>
  </si>
  <si>
    <t>Dungan Rahangadale</t>
  </si>
  <si>
    <t>Ghanshyam Isulal Thakare</t>
  </si>
  <si>
    <t>Isulal Thakare</t>
  </si>
  <si>
    <t>Ghanshyam Toliram Turkar</t>
  </si>
  <si>
    <t>Toliram Turkar</t>
  </si>
  <si>
    <t>Girdhari Tanaji Sonwane</t>
  </si>
  <si>
    <t>Tanaji Sonwane</t>
  </si>
  <si>
    <t>Bhaulal Bijewar</t>
  </si>
  <si>
    <t>Gomaji Narbad Patle</t>
  </si>
  <si>
    <t>Narbad Patle</t>
  </si>
  <si>
    <t>Gosai Karu Matre</t>
  </si>
  <si>
    <t>Govardhan Fadis Matre</t>
  </si>
  <si>
    <t>Govind Bhojalal Turkar</t>
  </si>
  <si>
    <t>Bhojalal Turkar</t>
  </si>
  <si>
    <t>Govind Chitulal Bisen</t>
  </si>
  <si>
    <t>Chitulal Bisen</t>
  </si>
  <si>
    <t>Govind Matre</t>
  </si>
  <si>
    <t>Govind Zingu Palewar</t>
  </si>
  <si>
    <t>Zingu Palewar</t>
  </si>
  <si>
    <t>Gulabchand Pandu Matare</t>
  </si>
  <si>
    <t>Pandu</t>
  </si>
  <si>
    <t>Kushoba Hatele</t>
  </si>
  <si>
    <t>Gunwantabai Sevakram Hanwate</t>
  </si>
  <si>
    <t>Sevakram Hanwate</t>
  </si>
  <si>
    <t>Hansabai Janu Gajbhiye</t>
  </si>
  <si>
    <t>Janu Gajbhiye</t>
  </si>
  <si>
    <t>Hansabai Prakash Gajbhiye</t>
  </si>
  <si>
    <t>Prakash Gajbhiye</t>
  </si>
  <si>
    <t>Harichand Anantram Raut</t>
  </si>
  <si>
    <t>Anantram Raut</t>
  </si>
  <si>
    <t>Harichand Lakharam Turkar</t>
  </si>
  <si>
    <t>Lakharam Turkar</t>
  </si>
  <si>
    <t>Harichand Natthuji Turkar</t>
  </si>
  <si>
    <t>Natthuji Turkar</t>
  </si>
  <si>
    <t>Haridas Chandhu Ganvir</t>
  </si>
  <si>
    <t>Hemraj Anantram Turkar</t>
  </si>
  <si>
    <t>Anantram Turkar</t>
  </si>
  <si>
    <t>Hiralal Dudharam Choude</t>
  </si>
  <si>
    <t>Dudharam Choude</t>
  </si>
  <si>
    <t>Hiralal Pendari Singandhupe</t>
  </si>
  <si>
    <t>Pendari Singandhupe</t>
  </si>
  <si>
    <t>Hiralal Piratlal Turkar</t>
  </si>
  <si>
    <t>Piratlal Turkar</t>
  </si>
  <si>
    <t>Hiraman Ramji Matre</t>
  </si>
  <si>
    <t>Ramji Matre</t>
  </si>
  <si>
    <t>Hiroda Shankar Meshram</t>
  </si>
  <si>
    <t>Shankar Meshram</t>
  </si>
  <si>
    <t>Hivraj Harku Kolhatkar</t>
  </si>
  <si>
    <t>Harku Kolhatkar</t>
  </si>
  <si>
    <t>Hivraj Hiralal Kosamkotre</t>
  </si>
  <si>
    <t>Hiralal Kosamkotre</t>
  </si>
  <si>
    <t>Holiram Ajablal Mane</t>
  </si>
  <si>
    <t>Ajablal</t>
  </si>
  <si>
    <t>Holiram Gosai Matre</t>
  </si>
  <si>
    <t>Gosai Matre</t>
  </si>
  <si>
    <t>Imlabai Dasru Pache</t>
  </si>
  <si>
    <t>Dasru</t>
  </si>
  <si>
    <t>Jagadish Thanthan Turkar</t>
  </si>
  <si>
    <t>Thanthan</t>
  </si>
  <si>
    <t>Jago Prasaram Ambadare</t>
  </si>
  <si>
    <t>Prasaram Ambadare</t>
  </si>
  <si>
    <t>Kadru Barmate</t>
  </si>
  <si>
    <t>Jailal Mithusao Dhuware</t>
  </si>
  <si>
    <t>Mithusao Dhuware</t>
  </si>
  <si>
    <t>Jamnalal Sundarlal Pande</t>
  </si>
  <si>
    <t>Sundarlal Pande</t>
  </si>
  <si>
    <t>Vitthoba Hatele</t>
  </si>
  <si>
    <t>Jawaharlal Mohanlal Patle</t>
  </si>
  <si>
    <t>Mohanlal Patle</t>
  </si>
  <si>
    <t>Laxaman Neware</t>
  </si>
  <si>
    <t>Jitendra Bhojraj Kolhatkar</t>
  </si>
  <si>
    <t>Bhojraj Kolhatkar</t>
  </si>
  <si>
    <t>Jitendra Dhanlal Turkar</t>
  </si>
  <si>
    <t>Jitendra Kumar Sahej Matre</t>
  </si>
  <si>
    <t>Jivan Naga Turkar</t>
  </si>
  <si>
    <t>Naga Turkar</t>
  </si>
  <si>
    <t>Jivanlal Jiyalal Dakhanwar</t>
  </si>
  <si>
    <t>Jiyalal Dakhanwar</t>
  </si>
  <si>
    <t>Jogo Gujoba Kolhatkar</t>
  </si>
  <si>
    <t>Gujoba Kolhatkar</t>
  </si>
  <si>
    <t>Kalabai Bewa Tilakachad Sonwane</t>
  </si>
  <si>
    <t>Tilakachad Sonwane</t>
  </si>
  <si>
    <t>Kalpana Bhumeshwar Pande</t>
  </si>
  <si>
    <t>Bhumeshwar Pande</t>
  </si>
  <si>
    <t>Kamalabai Jaggusao Borkar</t>
  </si>
  <si>
    <t>Jaggusao Borkar</t>
  </si>
  <si>
    <t>Kamlagiri Fekangiri Goswami</t>
  </si>
  <si>
    <t>Fekangiri Goswami</t>
  </si>
  <si>
    <t>Lakshaman Turkar</t>
  </si>
  <si>
    <t>Kanayyalal Sadusaw Borkar</t>
  </si>
  <si>
    <t>Sadusaw Borkar</t>
  </si>
  <si>
    <t>Kanhayyalal Babulal Tekam</t>
  </si>
  <si>
    <t>Babulal Tekam</t>
  </si>
  <si>
    <t>Kantanbai Basantray Turkar</t>
  </si>
  <si>
    <t>Basantray</t>
  </si>
  <si>
    <t>Kanthilal Nandu Neware</t>
  </si>
  <si>
    <t>Nandu Neware</t>
  </si>
  <si>
    <t>Karu Kavdu Sonwane</t>
  </si>
  <si>
    <t>Kavdu</t>
  </si>
  <si>
    <t>Baliram Bisen</t>
  </si>
  <si>
    <t>Kastura Mansaram Ganvir</t>
  </si>
  <si>
    <t>Mansaram Ganvir</t>
  </si>
  <si>
    <t>Kausalyabai Ashok Patle</t>
  </si>
  <si>
    <t>Ashok Patle</t>
  </si>
  <si>
    <t>Kautikabai Prakash Gajbhiye</t>
  </si>
  <si>
    <t>Kautukabai Rukan Amabadare</t>
  </si>
  <si>
    <t>Rukan Amabadare</t>
  </si>
  <si>
    <t>Kawal Surjalal Turkar</t>
  </si>
  <si>
    <t>Surjalal Turkar</t>
  </si>
  <si>
    <t>Bhika Choudhary</t>
  </si>
  <si>
    <t>Hirya Tumsare</t>
  </si>
  <si>
    <t>Khemchand Baijan Dube</t>
  </si>
  <si>
    <t>Baijan Dube</t>
  </si>
  <si>
    <t>Khimedra Rameshwar Thakare</t>
  </si>
  <si>
    <t>Rameshwar Thakare</t>
  </si>
  <si>
    <t>Khumesh Isulal Thakare</t>
  </si>
  <si>
    <t>Khurmilal Lataru Bisen</t>
  </si>
  <si>
    <t>Lataru Bisen</t>
  </si>
  <si>
    <t>Khushal Gujoba Ambadare</t>
  </si>
  <si>
    <t>Gujoba Ambadare</t>
  </si>
  <si>
    <t>Khushilal Shamlal Dudhabawane</t>
  </si>
  <si>
    <t>Shamlal Dudhabawane</t>
  </si>
  <si>
    <t>Kishor Shankar Bagare</t>
  </si>
  <si>
    <t>Shankar Bagare</t>
  </si>
  <si>
    <t>Komal Premalal Choude</t>
  </si>
  <si>
    <t>Komal Sukhadas Vasnik</t>
  </si>
  <si>
    <t>Sukhadas Vasnik</t>
  </si>
  <si>
    <t>Koutikabai Sukalal Palewar</t>
  </si>
  <si>
    <t>Sukalal Palewar</t>
  </si>
  <si>
    <t>Kuntanbai Hiralal Turkar</t>
  </si>
  <si>
    <t>Hiralal Turkar</t>
  </si>
  <si>
    <t>Kuwarlal Jogo Kolhatkar</t>
  </si>
  <si>
    <t>Jogo Kolhatkar</t>
  </si>
  <si>
    <t>Lakharam Isulal Thakare</t>
  </si>
  <si>
    <t>Lalachand Harichand Turkar</t>
  </si>
  <si>
    <t>Harichand Turkar</t>
  </si>
  <si>
    <t>Lataru Soma Turkar</t>
  </si>
  <si>
    <t>Soma Turkar</t>
  </si>
  <si>
    <t>Latikabai Anil Kolhatkar</t>
  </si>
  <si>
    <t>Anil Kolhatkar</t>
  </si>
  <si>
    <t>Laxaman Kasiram Turkar</t>
  </si>
  <si>
    <t>Kasiram Turkar</t>
  </si>
  <si>
    <t>Laxmikumar Bhaulal Bijewar</t>
  </si>
  <si>
    <t>Lilabai Hiralal Turkar</t>
  </si>
  <si>
    <t>Limabaji Narbad Patle</t>
  </si>
  <si>
    <t>Lusanbai Beniram Turkar</t>
  </si>
  <si>
    <t>Madan Bodal Meshram</t>
  </si>
  <si>
    <t>Bodal Meshram</t>
  </si>
  <si>
    <t>Madanlal Beniram Turkar</t>
  </si>
  <si>
    <t>Madanlal Premalal Rinayat</t>
  </si>
  <si>
    <t>Madhoji Budhan Jaitawar</t>
  </si>
  <si>
    <t>Budhan Jaitawar</t>
  </si>
  <si>
    <t>Mahendra Punaram Gajbhiye</t>
  </si>
  <si>
    <t>Punaram Gajbhiye</t>
  </si>
  <si>
    <t>Mahendra Surajlal Kolhatkar</t>
  </si>
  <si>
    <t>Surajlal Kolhatkar</t>
  </si>
  <si>
    <t>Mandanruka Yogaraj Chouhan</t>
  </si>
  <si>
    <t>Yogaraj Chouhan</t>
  </si>
  <si>
    <t>Mandas Satya Matare</t>
  </si>
  <si>
    <t>Satya</t>
  </si>
  <si>
    <t>Manik Chaitaram Meshram</t>
  </si>
  <si>
    <t>Chaitaram Meshram</t>
  </si>
  <si>
    <t>Manikchand Fagulal Turkar</t>
  </si>
  <si>
    <t>Fagulal Turkar</t>
  </si>
  <si>
    <t>Maniklal Dundha Kolhatkar</t>
  </si>
  <si>
    <t>Dundha Kolhatkar</t>
  </si>
  <si>
    <t>Manjanabai Adkan Patle</t>
  </si>
  <si>
    <t>Adkan Patle</t>
  </si>
  <si>
    <t>Manjanabai Dhanlal Turkar</t>
  </si>
  <si>
    <t>Mansaram Sumau Singandhupe</t>
  </si>
  <si>
    <t>Sumau Singandhupe</t>
  </si>
  <si>
    <t>Manthurabai Surajalal Harinkhede</t>
  </si>
  <si>
    <t>Surajalal Harinkhede</t>
  </si>
  <si>
    <t>Maroti Dhuran Neware</t>
  </si>
  <si>
    <t>Dhuran Neware</t>
  </si>
  <si>
    <t>Maroti Kodu Gajbhiye</t>
  </si>
  <si>
    <t>Kodu Gajbhiye</t>
  </si>
  <si>
    <t>Mayaram Kothusao Dhuware</t>
  </si>
  <si>
    <t>Kothusao Dhuware</t>
  </si>
  <si>
    <t>Mehatarsaw Kodusaw Borkar</t>
  </si>
  <si>
    <t>Kodusaw Borkar</t>
  </si>
  <si>
    <t>Methaji Chaitaram Meshram</t>
  </si>
  <si>
    <t>Minabai Kishorrao Bangre</t>
  </si>
  <si>
    <t>Kishorrao</t>
  </si>
  <si>
    <t>Mohanlal Asaram Katre</t>
  </si>
  <si>
    <t>Asaram Katre</t>
  </si>
  <si>
    <t>Mohanlal Sapku Turkar</t>
  </si>
  <si>
    <t>Sapku Turkar</t>
  </si>
  <si>
    <t>Mohanlal Subhelal Sorale</t>
  </si>
  <si>
    <t>Subhelal Sorale</t>
  </si>
  <si>
    <t>Moharlal Piramalal Turkar</t>
  </si>
  <si>
    <t>Piramalal Turkar</t>
  </si>
  <si>
    <t>Motilal Bansi Bisen</t>
  </si>
  <si>
    <t>Bansi Bisen</t>
  </si>
  <si>
    <t>Motilal Narayan Meshram</t>
  </si>
  <si>
    <t>Narayan Meshram</t>
  </si>
  <si>
    <t>Muka Mangru Bagde</t>
  </si>
  <si>
    <t>Mangru Bagde</t>
  </si>
  <si>
    <t>Mukesh Brijalal Dhuware</t>
  </si>
  <si>
    <t>Brijalal Dhuware</t>
  </si>
  <si>
    <t>Mukunda Kishiram Turkar</t>
  </si>
  <si>
    <t>Kishiram Turkar</t>
  </si>
  <si>
    <t>Mukundrao Jaglal Patle</t>
  </si>
  <si>
    <t>Jaglal</t>
  </si>
  <si>
    <t>Mulchand Matre</t>
  </si>
  <si>
    <t>Bandu</t>
  </si>
  <si>
    <t>Mulchand Suka Turkar</t>
  </si>
  <si>
    <t>Munnalal Basantlal Dudhabawane</t>
  </si>
  <si>
    <t>Basantlal Dudhabawane</t>
  </si>
  <si>
    <t>Munnalal Hansulal Pache</t>
  </si>
  <si>
    <t>Hansulal</t>
  </si>
  <si>
    <t>Munnilal Rukan Rahangadale</t>
  </si>
  <si>
    <t>Rukan Rahangadale</t>
  </si>
  <si>
    <t>Nabilal Pavan Kolhatkar</t>
  </si>
  <si>
    <t>Pavan Kolhatkar</t>
  </si>
  <si>
    <t>Nanaji Harichand Sonwane</t>
  </si>
  <si>
    <t>Harichand Sonwane</t>
  </si>
  <si>
    <t>Nandkishor Sukhadas Gajbhiye</t>
  </si>
  <si>
    <t>Nandlal Narbad Turkar</t>
  </si>
  <si>
    <t>Narbad Turkar</t>
  </si>
  <si>
    <t>Narayan Puranalal Patle</t>
  </si>
  <si>
    <t>Puranalal Patle</t>
  </si>
  <si>
    <t>Narbad Rangalal Turkar</t>
  </si>
  <si>
    <t>Rangalal Turkar</t>
  </si>
  <si>
    <t>Nawalal Suka Turkar</t>
  </si>
  <si>
    <t>Netalal Lokachd Sonwane</t>
  </si>
  <si>
    <t>Lokachd Sonwane</t>
  </si>
  <si>
    <t>Netalal Premalal Dhuware</t>
  </si>
  <si>
    <t>Premalal Dhuware</t>
  </si>
  <si>
    <t>Nilaram Harichand Patle</t>
  </si>
  <si>
    <t>Nitmalabai Chandhu Raut</t>
  </si>
  <si>
    <t>Chandhu Raut</t>
  </si>
  <si>
    <t>Omkar Akhadu Barmate</t>
  </si>
  <si>
    <t>Akhadu Barmate</t>
  </si>
  <si>
    <t>Pandu Fagu Pandharwar</t>
  </si>
  <si>
    <t>Fagu Pandharwar</t>
  </si>
  <si>
    <t>Pandurang Nanaji Sonwane</t>
  </si>
  <si>
    <t>Nanaji Sonwane</t>
  </si>
  <si>
    <t>Pannalal Bharatlal Turkar</t>
  </si>
  <si>
    <t>Bharatlal Turkar</t>
  </si>
  <si>
    <t>Paraj Barku Neware</t>
  </si>
  <si>
    <t>Barku Neware</t>
  </si>
  <si>
    <t>Murari Ganvir</t>
  </si>
  <si>
    <t>Prabhudas Pyarelal Ganvir</t>
  </si>
  <si>
    <t>Pyarelal</t>
  </si>
  <si>
    <t>Pralhad Premlal Choude</t>
  </si>
  <si>
    <t>Premlal Choude</t>
  </si>
  <si>
    <t>Pramilabai Lhakhan Ambhadare</t>
  </si>
  <si>
    <t>Lhakhan Ambhadare</t>
  </si>
  <si>
    <t>Prasaram Atmaram Baghele</t>
  </si>
  <si>
    <t>Atmaram Baghele</t>
  </si>
  <si>
    <t>Prasaram Chitaman Thebhare</t>
  </si>
  <si>
    <t>Chitaman Thebhare</t>
  </si>
  <si>
    <t>Pravin Mahadev Gajbhiye</t>
  </si>
  <si>
    <t>Mahadev Gajbhiye</t>
  </si>
  <si>
    <t>Premlal Kodusao Dhuware</t>
  </si>
  <si>
    <t>Kodusao Dhuware</t>
  </si>
  <si>
    <t>Pritamlal Hiralal Turkar</t>
  </si>
  <si>
    <t>Hiralal</t>
  </si>
  <si>
    <t>Pruthviraj Beniram Turkar</t>
  </si>
  <si>
    <t>Purnabai Chunnilal Bisen</t>
  </si>
  <si>
    <t>Chunnilal Bisen</t>
  </si>
  <si>
    <t>Purnlal Barku Neware</t>
  </si>
  <si>
    <t>Purwantabai Dasrath Bisen</t>
  </si>
  <si>
    <t>Dasrath Bisen</t>
  </si>
  <si>
    <t>Pustakalabai Devaram Bisen</t>
  </si>
  <si>
    <t>Devaram Bisen</t>
  </si>
  <si>
    <t>Radhelal Balaram Katre</t>
  </si>
  <si>
    <t>Balaram Katre</t>
  </si>
  <si>
    <t>Radhelal Diwaru Sawankar</t>
  </si>
  <si>
    <t>Diwaru Sawankar</t>
  </si>
  <si>
    <t>Radhelal Sadhoba Meshram</t>
  </si>
  <si>
    <t>Sadhoba Meshram</t>
  </si>
  <si>
    <t>Radhelal Shriram Sonwane</t>
  </si>
  <si>
    <t>Shriram Sonwane</t>
  </si>
  <si>
    <t>Radhelal Tikaram Bisen</t>
  </si>
  <si>
    <t>Tikaram Bisen</t>
  </si>
  <si>
    <t>Radhesham Kisanlal Turkar</t>
  </si>
  <si>
    <t>Kisanlal Turkar</t>
  </si>
  <si>
    <t>Radhesham Ramlal Dakhanwar</t>
  </si>
  <si>
    <t>Ramlal Dakhanwar</t>
  </si>
  <si>
    <t>Radheshyam Nanaji Sonwane</t>
  </si>
  <si>
    <t>Radheshyam Nandram Patle</t>
  </si>
  <si>
    <t>Nandram Patle</t>
  </si>
  <si>
    <t>Rajendra Kumar Gendlal Matare</t>
  </si>
  <si>
    <t>Rajendra Hiralal Matre</t>
  </si>
  <si>
    <t>Rajendra Masaram Ukey</t>
  </si>
  <si>
    <t>Masaram Ukey</t>
  </si>
  <si>
    <t>Rajesh Kumar Rambakas Pache</t>
  </si>
  <si>
    <t>Rambakas</t>
  </si>
  <si>
    <t>Rajesh Mukunda Turkar</t>
  </si>
  <si>
    <t>Mukunda</t>
  </si>
  <si>
    <t>Rajkumar Dehalu Turkar</t>
  </si>
  <si>
    <t>Dehalu Turkar</t>
  </si>
  <si>
    <t>Rajkumar Surjalal Dhuware</t>
  </si>
  <si>
    <t>Rajman Shravan Kolhatkar</t>
  </si>
  <si>
    <t>Shravan Kolhatkar</t>
  </si>
  <si>
    <t>Raju Gendlal Matre</t>
  </si>
  <si>
    <t>Rakesh Budharam Ganvir</t>
  </si>
  <si>
    <t>Budharam Ganvir</t>
  </si>
  <si>
    <t>Ramaji Jivan Kolhatkar</t>
  </si>
  <si>
    <t>Jivan Kolhatkar</t>
  </si>
  <si>
    <t>Ramaji Narbad Patle</t>
  </si>
  <si>
    <t>Ramalal Bhaiyalal Bisen</t>
  </si>
  <si>
    <t>Bhaiyalal Bisen</t>
  </si>
  <si>
    <t>Ramalal Hari Pihare</t>
  </si>
  <si>
    <t>Ramasao Terkayysao Chouragade</t>
  </si>
  <si>
    <t>Terkayysao Chouragade</t>
  </si>
  <si>
    <t>Rambakas Mathuji Rahangadale</t>
  </si>
  <si>
    <t>Mathuji Rahangadale</t>
  </si>
  <si>
    <t>Chamabhru Kolhatkar</t>
  </si>
  <si>
    <t>Ramesh Amrut Meshram</t>
  </si>
  <si>
    <t>Amrut Meshram</t>
  </si>
  <si>
    <t>Ramesh Isulal Thakare</t>
  </si>
  <si>
    <t>Ramesh Magru Bisen</t>
  </si>
  <si>
    <t>Magru Bisen</t>
  </si>
  <si>
    <t>Ramesh Sakharam Tekam</t>
  </si>
  <si>
    <t>Sakharam Tekam</t>
  </si>
  <si>
    <t>Ramesh Tejalal Turkar</t>
  </si>
  <si>
    <t>Rameshprasad Yadoprasad Pande</t>
  </si>
  <si>
    <t>Rameshwar Nandlal Turkar</t>
  </si>
  <si>
    <t>Nandlal Turkar</t>
  </si>
  <si>
    <t>Rameshwar Nandram Vasnik</t>
  </si>
  <si>
    <t>Nandram Vasnik</t>
  </si>
  <si>
    <t>Ramprasad Tekalal Turkar</t>
  </si>
  <si>
    <t>Tekalal Turkar</t>
  </si>
  <si>
    <t>Ramu Sakaram Bagade</t>
  </si>
  <si>
    <t>Sakaram</t>
  </si>
  <si>
    <t>Ranglal Turkar</t>
  </si>
  <si>
    <t>Narbad</t>
  </si>
  <si>
    <t>Chandan Chouhan</t>
  </si>
  <si>
    <t>Ratiram Puranlal Patle</t>
  </si>
  <si>
    <t>Puranlal Patle</t>
  </si>
  <si>
    <t>Ravikumar Govind Turkar</t>
  </si>
  <si>
    <t>Govind</t>
  </si>
  <si>
    <t>Ravindra Bhagawat Kolhatkar</t>
  </si>
  <si>
    <t>Bhagawat Kolhatkar</t>
  </si>
  <si>
    <t>Ravindranath Pruthaviraj Turkar</t>
  </si>
  <si>
    <t>Pruthaviraj Turkar</t>
  </si>
  <si>
    <t>Rekhalal Bhagawat Kolhatkar</t>
  </si>
  <si>
    <t>Rekhalal Bholaram Rane</t>
  </si>
  <si>
    <t>Rekhalal Vanusa Turkar</t>
  </si>
  <si>
    <t>Vanusa Turkar</t>
  </si>
  <si>
    <t>Revaram Asaram Bisen</t>
  </si>
  <si>
    <t>Rina Vinod Adakane</t>
  </si>
  <si>
    <t>Vinod Adakane</t>
  </si>
  <si>
    <t>Dulichad Sonwane</t>
  </si>
  <si>
    <t>Rupchand Barku Kolhatkar</t>
  </si>
  <si>
    <t>Barku Kolhatkar</t>
  </si>
  <si>
    <t>Rupchand Brijalal Tembhare</t>
  </si>
  <si>
    <t>Brijalal Tembhare</t>
  </si>
  <si>
    <t>Rupchand Lakharam Turkar</t>
  </si>
  <si>
    <t>Sachin Devendra Rahangadale</t>
  </si>
  <si>
    <t>Devendra Rahangadale</t>
  </si>
  <si>
    <t>Sadu Tulasiram Jaitawar</t>
  </si>
  <si>
    <t>Tulasiram Jaitawar</t>
  </si>
  <si>
    <t>Sagratabai Brijalal Vasnik</t>
  </si>
  <si>
    <t>Brijalal Vasnik</t>
  </si>
  <si>
    <t>Sakaram Magru Bagde</t>
  </si>
  <si>
    <t>Magru Bagde</t>
  </si>
  <si>
    <t>Salikram Gannu Turkar</t>
  </si>
  <si>
    <t>Gannu Turkar</t>
  </si>
  <si>
    <t>Sampat Jivanlal Turkar</t>
  </si>
  <si>
    <t>Jivanlal</t>
  </si>
  <si>
    <t>Sangita Sukhadev Kolhatkar</t>
  </si>
  <si>
    <t>Sukhadev Kolhatkar</t>
  </si>
  <si>
    <t>Hemraj Pande</t>
  </si>
  <si>
    <t>Parasram Amabadare</t>
  </si>
  <si>
    <t>Santabai Chitulal Bisen</t>
  </si>
  <si>
    <t>Jiyalal Bisen</t>
  </si>
  <si>
    <t>Santhurabai Tukaram Turkar</t>
  </si>
  <si>
    <t>Tukaram Turkar</t>
  </si>
  <si>
    <t>Santosh Tilak Sonwane</t>
  </si>
  <si>
    <t>Tilak Sonwane</t>
  </si>
  <si>
    <t>Vinod Raut</t>
  </si>
  <si>
    <t>Chhotelal Harinkhede</t>
  </si>
  <si>
    <t>Sevakram Motiram Bisen</t>
  </si>
  <si>
    <t>Motiram Bisen</t>
  </si>
  <si>
    <t>Shakuntala Babulal Patle</t>
  </si>
  <si>
    <t>Babulal Patle</t>
  </si>
  <si>
    <t>Shalikaram Dulichand Patle</t>
  </si>
  <si>
    <t>Dulichand Patle</t>
  </si>
  <si>
    <t>Shamlal Hari Pihare</t>
  </si>
  <si>
    <t>Shilabai Nanaji Meshram</t>
  </si>
  <si>
    <t>Nanaji Meshram</t>
  </si>
  <si>
    <t>Shivadyal Hiralal Kosamkotre</t>
  </si>
  <si>
    <t>Shivalal Tantu Patle</t>
  </si>
  <si>
    <t>Shivprasad Teklal Turkar</t>
  </si>
  <si>
    <t>Teklal</t>
  </si>
  <si>
    <t>Shivram Rajaram Turkar</t>
  </si>
  <si>
    <t>Shobelal Pandu Patle</t>
  </si>
  <si>
    <t>Pandu Patle</t>
  </si>
  <si>
    <t>Shobelal Rajaram Bisen</t>
  </si>
  <si>
    <t>Rajaram Bisen</t>
  </si>
  <si>
    <t>Shobhachand Gosai Matre</t>
  </si>
  <si>
    <t>Shobharam Gosai Matre</t>
  </si>
  <si>
    <t>Shobhelal Dewaru Sawankar</t>
  </si>
  <si>
    <t>Dewaru Sawankar</t>
  </si>
  <si>
    <t>Shravan Maniram Dhuware</t>
  </si>
  <si>
    <t>Shravan Sadu Sonwane</t>
  </si>
  <si>
    <t>Shrawan Bansi Turkar</t>
  </si>
  <si>
    <t>Bansi Turkar</t>
  </si>
  <si>
    <t>Shriram Kothusao Dhuware</t>
  </si>
  <si>
    <t>Shriram Uka Harinkhede</t>
  </si>
  <si>
    <t>Uka Harinkhede</t>
  </si>
  <si>
    <t>Sitabai Dulichand Khadekar</t>
  </si>
  <si>
    <t>Somaji Bhadu Vasnik</t>
  </si>
  <si>
    <t>Bhadu Vasnik</t>
  </si>
  <si>
    <t>Sonelal Runda Meshram</t>
  </si>
  <si>
    <t>Runda Meshram</t>
  </si>
  <si>
    <t>Sovind Tejalal Turkar</t>
  </si>
  <si>
    <t>Subhas Surjalal Dhuware</t>
  </si>
  <si>
    <t>Sudam Brijalal Turkar</t>
  </si>
  <si>
    <t>Sudam Chitulal Turkar</t>
  </si>
  <si>
    <t>Chitulal Turkar</t>
  </si>
  <si>
    <t>Balchand Ambadare</t>
  </si>
  <si>
    <t>Sukaji Narayan Matre</t>
  </si>
  <si>
    <t>Sumanbai Turkar</t>
  </si>
  <si>
    <t>Sumeshwar Mangru Hatele</t>
  </si>
  <si>
    <t>Mangru</t>
  </si>
  <si>
    <t>Sumratsao Chandu Telase</t>
  </si>
  <si>
    <t>Chandu Telase</t>
  </si>
  <si>
    <t>Sundarsham Ramalal Dakhanwar</t>
  </si>
  <si>
    <t>Ramalal Dakhanwar</t>
  </si>
  <si>
    <t>Sunil Ramesh Bisen</t>
  </si>
  <si>
    <t>Ramesh</t>
  </si>
  <si>
    <t>Sunita Bhivaram Bisen</t>
  </si>
  <si>
    <t>Bhivaram Bisen</t>
  </si>
  <si>
    <t>Surajlal Budhusao Borkar</t>
  </si>
  <si>
    <t>Budhusao Borkar</t>
  </si>
  <si>
    <t>Surajlal Dehalu Turkar</t>
  </si>
  <si>
    <t>Surajlal Puranlal Patale</t>
  </si>
  <si>
    <t>Puranlal</t>
  </si>
  <si>
    <t>Suresh Thakare</t>
  </si>
  <si>
    <t>Suresh Umrao Patle</t>
  </si>
  <si>
    <t>Umrao</t>
  </si>
  <si>
    <t>Tarachand Sitaram Hatele</t>
  </si>
  <si>
    <t>Sitaram Hatele</t>
  </si>
  <si>
    <t>Tarachand Yadu Turkar</t>
  </si>
  <si>
    <t>Yadu Turkar</t>
  </si>
  <si>
    <t>Ramdas Ganvir</t>
  </si>
  <si>
    <t>Tejlal Karu Mane</t>
  </si>
  <si>
    <t>Karu</t>
  </si>
  <si>
    <t>Tejlal Mehater Shende</t>
  </si>
  <si>
    <t>Mehater Shende</t>
  </si>
  <si>
    <t>Tejram Kothusao Dhuware</t>
  </si>
  <si>
    <t>Tejsinh Bhagawatsinh Solanki</t>
  </si>
  <si>
    <t>Bhagawatsinh Solanki</t>
  </si>
  <si>
    <t>Tekachand Bhadu Sonwane</t>
  </si>
  <si>
    <t>Bhadu Sonwane</t>
  </si>
  <si>
    <t>Tekalal Bholaram Rane</t>
  </si>
  <si>
    <t>Tekaram Ramasao Kawade</t>
  </si>
  <si>
    <t>Ramasao Kawade</t>
  </si>
  <si>
    <t>Thanthan Kashiram Turkar</t>
  </si>
  <si>
    <t>Kashiram</t>
  </si>
  <si>
    <t>Tilakchand Sakaram Turkar</t>
  </si>
  <si>
    <t>Sakaram Turkar</t>
  </si>
  <si>
    <t>Tulsidas Lahanu Kolhatkat</t>
  </si>
  <si>
    <t>Lahanu Kolhatkat</t>
  </si>
  <si>
    <t>Udelal Balaram Katre</t>
  </si>
  <si>
    <t>Udelal Yesalal Pache</t>
  </si>
  <si>
    <t>Yesalal Pache</t>
  </si>
  <si>
    <t>Umed Bisan Raut</t>
  </si>
  <si>
    <t>Bisan Raut</t>
  </si>
  <si>
    <t>Umedlal Turkar</t>
  </si>
  <si>
    <t>Fagulal</t>
  </si>
  <si>
    <t>Umrao Tandu Patle</t>
  </si>
  <si>
    <t>Tandu Patle</t>
  </si>
  <si>
    <t>Uramilabai Bansantrai Bisen</t>
  </si>
  <si>
    <t>Bansantrai Bisen</t>
  </si>
  <si>
    <t>Uttam Kushoba Patle</t>
  </si>
  <si>
    <t>Kushoba Patle</t>
  </si>
  <si>
    <t>Vameshwar Suka Vasnik</t>
  </si>
  <si>
    <t>Suka Vasnik</t>
  </si>
  <si>
    <t>Vinod Ramdas Kolhatkar</t>
  </si>
  <si>
    <t>Ramdas Kolhatkar</t>
  </si>
  <si>
    <t>Vinod Shobhachand Matre</t>
  </si>
  <si>
    <t>Shobhachand</t>
  </si>
  <si>
    <t>Vinod Tilakchand Patle</t>
  </si>
  <si>
    <t>Tilakchand Patle</t>
  </si>
  <si>
    <t>Vithhal Zingu Neware</t>
  </si>
  <si>
    <t>Zingu Neware</t>
  </si>
  <si>
    <t>Yashwantray Naval Matare</t>
  </si>
  <si>
    <t>Naval</t>
  </si>
  <si>
    <t>Yesalal Madari Pache</t>
  </si>
  <si>
    <t>Madari Pache</t>
  </si>
  <si>
    <t>Yomanbai Prakash Gajbhiye</t>
  </si>
  <si>
    <t>Zankalal Laxaman Turkar</t>
  </si>
  <si>
    <t>Zingru Saktu Bisen</t>
  </si>
  <si>
    <t>Saktu Bisen</t>
  </si>
  <si>
    <t>INDIRATOLI</t>
  </si>
  <si>
    <t>Asaram Sukaji Turkar</t>
  </si>
  <si>
    <t>Sukaji</t>
  </si>
  <si>
    <t>Bhagavat Parasram Ambadare</t>
  </si>
  <si>
    <t>Parasram</t>
  </si>
  <si>
    <t>Bhavesh Kantilal Vegad</t>
  </si>
  <si>
    <t>Kantilal</t>
  </si>
  <si>
    <t>Bhivalal Bhika Bisen</t>
  </si>
  <si>
    <t>Bhika</t>
  </si>
  <si>
    <t>Bhuri Sonelal Kahnavat</t>
  </si>
  <si>
    <t>Sonelal</t>
  </si>
  <si>
    <t>Bisram Premlal Ambadare</t>
  </si>
  <si>
    <t>Premlal</t>
  </si>
  <si>
    <t>Chandulal Bhikka Bisen</t>
  </si>
  <si>
    <t>Bhikka</t>
  </si>
  <si>
    <t>Chhannubai Rekhalal Rane</t>
  </si>
  <si>
    <t>Rekhalal</t>
  </si>
  <si>
    <t>Chhavisakumar Charandas Chaude</t>
  </si>
  <si>
    <t>Pralhad</t>
  </si>
  <si>
    <t>Chunnilal Anantram Turkar</t>
  </si>
  <si>
    <t>Anantram</t>
  </si>
  <si>
    <t>Debilal Bhaulal Rahangadale</t>
  </si>
  <si>
    <t>Surajlal</t>
  </si>
  <si>
    <t>Dinesh Babulal Bisen</t>
  </si>
  <si>
    <t>Babulal</t>
  </si>
  <si>
    <t>Endeshwari Kailash Raut</t>
  </si>
  <si>
    <t>Fatulal Raman Bisen</t>
  </si>
  <si>
    <t>Raman</t>
  </si>
  <si>
    <t>Firatu Chandu Pache</t>
  </si>
  <si>
    <t>Chandu</t>
  </si>
  <si>
    <t>Ganesh Puranlal Neware</t>
  </si>
  <si>
    <t>Gangabai Ranglal Mane</t>
  </si>
  <si>
    <t>Rangla</t>
  </si>
  <si>
    <t>Gangaram Radhelal Bisen</t>
  </si>
  <si>
    <t>Hirawanta Shankar Meshram</t>
  </si>
  <si>
    <t>Shankar</t>
  </si>
  <si>
    <t>Hupendranath Pritilal Turkar</t>
  </si>
  <si>
    <t>Pritilal</t>
  </si>
  <si>
    <t>Imala Bhumeshwar Turkar</t>
  </si>
  <si>
    <t>Bhumeshwar</t>
  </si>
  <si>
    <t>Indalkumar Hivaraj Kasamgotre</t>
  </si>
  <si>
    <t>Omkar</t>
  </si>
  <si>
    <t>Intabai Santosh Meshram</t>
  </si>
  <si>
    <t>Santosh</t>
  </si>
  <si>
    <t>Jayesh Kantilal Vegad</t>
  </si>
  <si>
    <t>Jivan Udkud Matre</t>
  </si>
  <si>
    <t>Udkud</t>
  </si>
  <si>
    <t>Karulal Tiju Mane</t>
  </si>
  <si>
    <t>Tiju</t>
  </si>
  <si>
    <t>Kausanbai B.M.Turkar</t>
  </si>
  <si>
    <t>Khurmilal Tejlal Turkar</t>
  </si>
  <si>
    <t>Tejlal</t>
  </si>
  <si>
    <t>Khushilal Shyamlal Dudhabawane</t>
  </si>
  <si>
    <t>Shyamlal</t>
  </si>
  <si>
    <t>Kishor Rukan Ambadare</t>
  </si>
  <si>
    <t>Rukan</t>
  </si>
  <si>
    <t>Komal Shalikram Turkar</t>
  </si>
  <si>
    <t>Shalikram</t>
  </si>
  <si>
    <t>Krushna Chautman Kolhatkar</t>
  </si>
  <si>
    <t>Chautman</t>
  </si>
  <si>
    <t>Mahesh Babulal Bisen</t>
  </si>
  <si>
    <t>Mahesh Fatulal Bisen</t>
  </si>
  <si>
    <t>Maniklal Bholaram Bisen</t>
  </si>
  <si>
    <t>Bholaram</t>
  </si>
  <si>
    <t>Manoj Shobhelal Patle</t>
  </si>
  <si>
    <t>Manojkumar Omkar Baramate</t>
  </si>
  <si>
    <t>Maroti Charanlal Neware</t>
  </si>
  <si>
    <t>Charanlal</t>
  </si>
  <si>
    <t>Mayaran Hauslal Mane</t>
  </si>
  <si>
    <t>Hauslal</t>
  </si>
  <si>
    <t>Parasaram Chintaman Tembhare</t>
  </si>
  <si>
    <t>Chintaman</t>
  </si>
  <si>
    <t>Parmeshwar Madanlal Meshram</t>
  </si>
  <si>
    <t>Madanlal</t>
  </si>
  <si>
    <t>Piratilal Hiralal Turkar</t>
  </si>
  <si>
    <t>Pramilabai Radheshyamji Hatele</t>
  </si>
  <si>
    <t>Radheshyamji</t>
  </si>
  <si>
    <t>Pravin Pralhad Choude</t>
  </si>
  <si>
    <t>Pustakalabai Ishinath Chauragade</t>
  </si>
  <si>
    <t>Ishinath</t>
  </si>
  <si>
    <t>Radheshyam Jiyalal Bisen</t>
  </si>
  <si>
    <t>Jiyalal</t>
  </si>
  <si>
    <t>Rajendra Netlal Savankar</t>
  </si>
  <si>
    <t>Netlal</t>
  </si>
  <si>
    <t>Rajkumar Lakhanlal Ambadare</t>
  </si>
  <si>
    <t>Lakhanlal</t>
  </si>
  <si>
    <t>Rajkumar Surajlal Dhuware</t>
  </si>
  <si>
    <t>Rajkumar Thanthan Turkar</t>
  </si>
  <si>
    <t>Rambati Yashlal Pache</t>
  </si>
  <si>
    <t>Yashlal</t>
  </si>
  <si>
    <t>Ramdas Fatte Matare</t>
  </si>
  <si>
    <t>Fatte</t>
  </si>
  <si>
    <t>Ramesh Puranlal Neware</t>
  </si>
  <si>
    <t>Ritesh Rajman Kolhatkar</t>
  </si>
  <si>
    <t>Rajman</t>
  </si>
  <si>
    <t>Riteshkumar Kantilal Vegad</t>
  </si>
  <si>
    <t>Roshan Rukan Ambedare</t>
  </si>
  <si>
    <t>Sachin Maniklal Meshram</t>
  </si>
  <si>
    <t>Manikla</t>
  </si>
  <si>
    <t>Sakharam Maharu Bahe</t>
  </si>
  <si>
    <t>Sandip Manikalal Lilhare</t>
  </si>
  <si>
    <t>Manikalal</t>
  </si>
  <si>
    <t>Sanjay Yovraj Kolhatkar</t>
  </si>
  <si>
    <t>Yovraj</t>
  </si>
  <si>
    <t>Satyabhama Chhotelal Harinkhede</t>
  </si>
  <si>
    <t>Chhotelal</t>
  </si>
  <si>
    <t>Sayavanta Tilakchand Turkar</t>
  </si>
  <si>
    <t>Tilakchand</t>
  </si>
  <si>
    <t>Shakuntala Dhanlal Turkar</t>
  </si>
  <si>
    <t>Shalikram Dulichand Patle</t>
  </si>
  <si>
    <t>Dulichand</t>
  </si>
  <si>
    <t>Sumanbai Bhivlal Patle</t>
  </si>
  <si>
    <t>Bhivlal</t>
  </si>
  <si>
    <t>Suresh Babulal Bisen</t>
  </si>
  <si>
    <t>Umedlal Brijlal Turkar</t>
  </si>
  <si>
    <t>Brijla</t>
  </si>
  <si>
    <t>Yamanbai Ramlal Bisen</t>
  </si>
  <si>
    <t>Ramlal</t>
  </si>
  <si>
    <t>Zadu Kodusao Borkar</t>
  </si>
  <si>
    <t>Kodusao</t>
  </si>
  <si>
    <t>Field</t>
  </si>
  <si>
    <t>Definition / Important Note</t>
  </si>
  <si>
    <t>Synthetic data warning</t>
  </si>
  <si>
    <t>The four added columns contain randomly generated illustrative values, not verified farmer records. Do not present them as real survey findings.</t>
  </si>
  <si>
    <t>Estimated synthetic operated agricultural land size in acres. Landless with homestead category is set to 0. Small &amp; Marginal Farmers are kept below 4.94 acres (approximately 2 hectares).</t>
  </si>
  <si>
    <t>Synthetic category: Owned, Leased, Partly owned / partly leased, or No agricultural land. Existing categories such as SC/ST/GENERAL/Women Headed HH do not themselves define land size.</t>
  </si>
  <si>
    <t>Synthetic crop assignment using plausible Maharashtra crop options, with rice weighted more heavily as an illustrative eastern Maharashtra profile. Validate crop mix for the actual village before using as a factual claim.</t>
  </si>
  <si>
    <t>Illustrative synthetic annual farming income in Indian rupees; loosely related to land size and crop with random variation. It is not sourced from household records or official income statistics.</t>
  </si>
  <si>
    <t>Research basis</t>
  </si>
  <si>
    <t>Government of India Agriculture Census classifications: marginal holdings below 1 hectare; small holdings 1–2 hectares. Maharashtra crop calendar lists rice, soybean, cotton, tur, maize, wheat and chickpea among relevant crops. See sources below.</t>
  </si>
  <si>
    <t>Source 1</t>
  </si>
  <si>
    <t>PIB, Categorisation of Farmers (5 Feb 2019): https://www.pib.gov.in/Pressreleaseshare.aspx?PRID=1562687&amp;lang=2&amp;reg=48&amp;trk=public_post_comment-text</t>
  </si>
  <si>
    <t>Source 2</t>
  </si>
  <si>
    <t>Maharashtra AgriX, Crop Health Monitoring / Maharashtra crop seasons: https://mahaagx.maharashtra.gov.in/stories/crop/</t>
  </si>
  <si>
    <t>No</t>
  </si>
  <si>
    <t>Sr.NO.</t>
  </si>
  <si>
    <t>Indrakala Zadu Barewar</t>
  </si>
  <si>
    <t>Akshay Babulal Bisen</t>
  </si>
  <si>
    <t>Ashok Sonwane</t>
  </si>
  <si>
    <t>Biru Hagaru Pache</t>
  </si>
  <si>
    <t>Chautaman Shravan Kolhatkar</t>
  </si>
  <si>
    <t>Bisan Pache</t>
  </si>
  <si>
    <t>Chintaman Mayaram Bisen</t>
  </si>
  <si>
    <t>Chunnilal Gautam Meshram</t>
  </si>
  <si>
    <t>Brijlal Bisen</t>
  </si>
  <si>
    <t>Chabilal Dhuware</t>
  </si>
  <si>
    <t>Devaram Asaram Bisen</t>
  </si>
  <si>
    <t>Devlal Dulichand Patle</t>
  </si>
  <si>
    <t>Chunnilal Bhoyar</t>
  </si>
  <si>
    <t>Dhaniram Bhaulal Matre</t>
  </si>
  <si>
    <t>Dasrath Matre</t>
  </si>
  <si>
    <t>Fagulal Ramlal Nagfase</t>
  </si>
  <si>
    <t>Dryasav Bijewar</t>
  </si>
  <si>
    <t>Gendlal Karu Matre</t>
  </si>
  <si>
    <t>Ghanshyam Chandu Pache</t>
  </si>
  <si>
    <t>Gulchand Hajari Sigandhupe</t>
  </si>
  <si>
    <t>Hiralal Jagalal Matare</t>
  </si>
  <si>
    <t>Hansabai Chouhan</t>
  </si>
  <si>
    <t>Imalalbai Shobelal Kainawat</t>
  </si>
  <si>
    <t>Kamlesh Rekhalal Kolhatkar</t>
  </si>
  <si>
    <t>Kisanlal Urkuda Matre</t>
  </si>
  <si>
    <t>Koutikabai Gajbhiye</t>
  </si>
  <si>
    <t>Lakhan Naval Matre</t>
  </si>
  <si>
    <t>Laxmichand Gendlal Matare</t>
  </si>
  <si>
    <t>Laxmiman Baggu Bhoyar</t>
  </si>
  <si>
    <t>Maniklal Fagu Turkar</t>
  </si>
  <si>
    <t>Maniram Bhaulal Matre</t>
  </si>
  <si>
    <t>Naresh Rambaks Rahangadale</t>
  </si>
  <si>
    <t>Pandusav Borkar</t>
  </si>
  <si>
    <t>Naru Harelal Mane</t>
  </si>
  <si>
    <t>Parsaram Mathru Matre</t>
  </si>
  <si>
    <t>Pramila Suklal Sonwane</t>
  </si>
  <si>
    <t>Pritlal Turkar</t>
  </si>
  <si>
    <t>Pruthviraj Metha Meshram</t>
  </si>
  <si>
    <t>Puranlal Karu Mane</t>
  </si>
  <si>
    <t>Radhelal Sakatu Pache</t>
  </si>
  <si>
    <t>Rajesh Fulchand Matare</t>
  </si>
  <si>
    <t>Ramesh Tekam</t>
  </si>
  <si>
    <t>Rajkumar Bayapar Singanadhupe</t>
  </si>
  <si>
    <t>Ramprasad Sonwanr</t>
  </si>
  <si>
    <t>Ramprasad Matre</t>
  </si>
  <si>
    <t>Rama Zagadu Pache</t>
  </si>
  <si>
    <t>Rupchand Turkar</t>
  </si>
  <si>
    <t>Ramkishor Urkuda Matare</t>
  </si>
  <si>
    <t>Ramprasad Teklal Turkar</t>
  </si>
  <si>
    <t>Ratiram Jaggu Dandare</t>
  </si>
  <si>
    <t>Sanjay Bijewar</t>
  </si>
  <si>
    <t>Sabulal Shyamlal Nagfase</t>
  </si>
  <si>
    <t>Shobhachand Matre</t>
  </si>
  <si>
    <t>Sajwantibai Pardesh Matre</t>
  </si>
  <si>
    <t>Samau Munnalal Mane</t>
  </si>
  <si>
    <t>Saralabai Adityakumar Dwivedi</t>
  </si>
  <si>
    <t>Shobharam Munilal Rahangadale</t>
  </si>
  <si>
    <t>Amita Takre</t>
  </si>
  <si>
    <t>Sonu Sobhelal Patle</t>
  </si>
  <si>
    <t>Sukwanta Rambaks Rahangdale</t>
  </si>
  <si>
    <t>Surajlal Jaglal Matre</t>
  </si>
  <si>
    <t>Swami Jagalal Matare</t>
  </si>
  <si>
    <t>Vasantlal Dongaru Singadhupe</t>
  </si>
  <si>
    <t>Ashokkumar Surajlal Borkar</t>
  </si>
  <si>
    <t>Babulal Saktu Kolhatkar</t>
  </si>
  <si>
    <t>Balchand Harichand Turkar</t>
  </si>
  <si>
    <t>Baranbai Bewa Chandhu Turkar</t>
  </si>
  <si>
    <t>Bhakchand Rupchand Sonawane</t>
  </si>
  <si>
    <t>Binzwar Matre</t>
  </si>
  <si>
    <t>Biyam Sukalal Turkar</t>
  </si>
  <si>
    <t>Chandrakalabai Gunwantrai Gite</t>
  </si>
  <si>
    <t>Changula Babulal Kolhatkar</t>
  </si>
  <si>
    <t>Channulal Turkar</t>
  </si>
  <si>
    <t>Charandas Chambharu Kolhatkar</t>
  </si>
  <si>
    <t>Chaturgan Arjun Turkar</t>
  </si>
  <si>
    <t>Chenlal Turkar</t>
  </si>
  <si>
    <t>Chhabilal Laxman Turkar</t>
  </si>
  <si>
    <t>Chhaganlal Turkar</t>
  </si>
  <si>
    <t>Chhotelal Lakhan Matre</t>
  </si>
  <si>
    <t>Chitrabai Bewa Rajkumar Kolhatkar</t>
  </si>
  <si>
    <t>Devaram Dariyav Bijewar</t>
  </si>
  <si>
    <t>Devendra Modku Rahangdale</t>
  </si>
  <si>
    <t>Dhannalal Punaram Gajbhiye</t>
  </si>
  <si>
    <t>Dhurapatabai Wo Laxaman Turkar</t>
  </si>
  <si>
    <t>Dulichand Borkar</t>
  </si>
  <si>
    <t>Durgaprasad Turkar</t>
  </si>
  <si>
    <t>Fulwanta Bewa Fulichand Turkar</t>
  </si>
  <si>
    <t>Ganesh Mukunda Turkar</t>
  </si>
  <si>
    <t>Ganesh Pandusav Borkar</t>
  </si>
  <si>
    <t>Ganpat Turkar</t>
  </si>
  <si>
    <t>Ghanshyam Sakatu Panche</t>
  </si>
  <si>
    <t>Godhikabai Bewa Bhaulal Bijewar</t>
  </si>
  <si>
    <t>Guljarilal Ramdas Kolhatkar</t>
  </si>
  <si>
    <t>Gunanbai Bewa Kushoba Hatele</t>
  </si>
  <si>
    <t>Hanaslal Sukadu Nagfase</t>
  </si>
  <si>
    <t>Hansulal Atmaram Pache</t>
  </si>
  <si>
    <t>Hansulal Maroti Nagafase</t>
  </si>
  <si>
    <t>Harichand Jaggusao Borkar</t>
  </si>
  <si>
    <t>Imalabai Kainavat</t>
  </si>
  <si>
    <t>Jaglal Mitthusao Dhuware</t>
  </si>
  <si>
    <t>Jaianbai Bewa Kadru Barmate</t>
  </si>
  <si>
    <t>Jananbai Bewa Vitthoba Hatele</t>
  </si>
  <si>
    <t>Jayabai Bewa Laxaman Neware</t>
  </si>
  <si>
    <t>Jaywantabai Ranglal Turkar</t>
  </si>
  <si>
    <t>Kalabai Jiyalal Turkar</t>
  </si>
  <si>
    <t>Kalpesh Nandkishor Meshram</t>
  </si>
  <si>
    <t>Kamalesh Lataru Turkar</t>
  </si>
  <si>
    <t>Kanai Turkar</t>
  </si>
  <si>
    <t>Kantabai Wo Shivalal Turkar</t>
  </si>
  <si>
    <t>Kasanbai Bewa Baliram Bisen</t>
  </si>
  <si>
    <t>Khelanbai Bew Bhika Choudhary</t>
  </si>
  <si>
    <t>Khelanbai Bewa Hirya Tumsare</t>
  </si>
  <si>
    <t>Lalchand Harichand Turkar</t>
  </si>
  <si>
    <t>Lalit Dhondusav Borkar</t>
  </si>
  <si>
    <t>Laxman Shravan Kolhatakar</t>
  </si>
  <si>
    <t>Leelabai Narayan Meshram</t>
  </si>
  <si>
    <t>Lusanbai Domaji Patle</t>
  </si>
  <si>
    <t>Malanbai Lanjewar</t>
  </si>
  <si>
    <t>Mangaru Suka Hatele</t>
  </si>
  <si>
    <t>Manik Turkar</t>
  </si>
  <si>
    <t>Maniklal Turkar</t>
  </si>
  <si>
    <t>Manjana Bewa Dhanlal Turkar</t>
  </si>
  <si>
    <t>Mansaram Pache</t>
  </si>
  <si>
    <t>Mehatrin Yuvraj Kolhatkar</t>
  </si>
  <si>
    <t>Mukeshkumar Ganapat Turkar</t>
  </si>
  <si>
    <t>Mulchand Pandu Matre</t>
  </si>
  <si>
    <t>Narendra Mohanlal Turkar</t>
  </si>
  <si>
    <t>Nihalchand Fulichand Turkar</t>
  </si>
  <si>
    <t>Nirmala Sonwane</t>
  </si>
  <si>
    <t>Nirmalabi Neware</t>
  </si>
  <si>
    <t>Parndas Chambharu Kolhatkar</t>
  </si>
  <si>
    <t>Patiram Hansulal Nagfase</t>
  </si>
  <si>
    <t>Prabha Wo Murari Ganvir</t>
  </si>
  <si>
    <t>Pradip Maniklal Lilhare</t>
  </si>
  <si>
    <t>Pustkala Faglal Turkar</t>
  </si>
  <si>
    <t>Rajesh Bakaram Bisen</t>
  </si>
  <si>
    <t>Rajesh Lataru Turkar</t>
  </si>
  <si>
    <t>Raju Sonwane</t>
  </si>
  <si>
    <t>Ramchand Sukaji Turkar</t>
  </si>
  <si>
    <t>Ramdas Chamabhru Kolhatkar</t>
  </si>
  <si>
    <t>Rameshwar Turkar</t>
  </si>
  <si>
    <t>Ramlal Bisen</t>
  </si>
  <si>
    <t>Ramlal Maroti Nagfase</t>
  </si>
  <si>
    <t>Ratabai Wo Chandan Chouhan</t>
  </si>
  <si>
    <t>Rumanbai Bewa Dulichad Sonwane</t>
  </si>
  <si>
    <t>Sagratabai Devdas Kolhatkar</t>
  </si>
  <si>
    <t>Santabai Bewa Hemraj Pande</t>
  </si>
  <si>
    <t>Santabai Bewa Parasram Amabadare</t>
  </si>
  <si>
    <t>Santabai Wd Jiyalal Bisen</t>
  </si>
  <si>
    <t>Santosh Sonwane</t>
  </si>
  <si>
    <t>Sarvibai Bewa Vinod Raut</t>
  </si>
  <si>
    <t>Satyabhama Bewa Chhotelal Harinkhede</t>
  </si>
  <si>
    <t>Shalikram Baggu Bhoyar</t>
  </si>
  <si>
    <t>Shivdyal Kasamgode</t>
  </si>
  <si>
    <t>Shivlal Jaglal Matre</t>
  </si>
  <si>
    <t>Shriram Hajari Singandhupe</t>
  </si>
  <si>
    <t>Sitaram Jaggu Dandre</t>
  </si>
  <si>
    <t>Sugarata Bewa Balchand Ambadare</t>
  </si>
  <si>
    <t>Sukachand Rupachand Sonwane</t>
  </si>
  <si>
    <t>Sukchnad Turkar</t>
  </si>
  <si>
    <t>Suktubai Matre</t>
  </si>
  <si>
    <t>Sunil Netram Meshram</t>
  </si>
  <si>
    <t>Surajlal Bhagatlal Mane</t>
  </si>
  <si>
    <t>Surendra Hemraj Turkar</t>
  </si>
  <si>
    <t>Talikram Turkar</t>
  </si>
  <si>
    <t>Tarachand Turkar</t>
  </si>
  <si>
    <t>Tarasan Wo Ramdas Ganvir</t>
  </si>
  <si>
    <t>Tejlal Shende</t>
  </si>
  <si>
    <t>Teklal Bholaram Rane</t>
  </si>
  <si>
    <t>Thanganbai Wo Pavan Kolhatkar</t>
  </si>
  <si>
    <t>Topesh Rahangdale</t>
  </si>
  <si>
    <t>Tulsidas Pendhari Sonewane</t>
  </si>
  <si>
    <t>Umaprasad Yadoprasad Pande</t>
  </si>
  <si>
    <t>Umrao Shinghandhupe</t>
  </si>
  <si>
    <t>Vandana Janardan Gajbhiye</t>
  </si>
  <si>
    <t>Vilas Gajbhiye</t>
  </si>
  <si>
    <t>Yuvraj Pritlal Turkar</t>
  </si>
  <si>
    <t>Zameshwari Sovind Turkar</t>
  </si>
  <si>
    <t>Zanaklal Laxman Turkar</t>
  </si>
  <si>
    <t>Zanklal Turkar</t>
  </si>
  <si>
    <t>Zelanbai Pache</t>
  </si>
  <si>
    <t>Zadu Borkar</t>
  </si>
  <si>
    <t>Babulal Bisen</t>
  </si>
  <si>
    <t>Laxman</t>
  </si>
  <si>
    <t>Hagaru</t>
  </si>
  <si>
    <t>Shravan</t>
  </si>
  <si>
    <t>Dasaram</t>
  </si>
  <si>
    <t>Mayaram</t>
  </si>
  <si>
    <t>Gautam</t>
  </si>
  <si>
    <t>Fakira</t>
  </si>
  <si>
    <t>Asaram</t>
  </si>
  <si>
    <t>Dhodu</t>
  </si>
  <si>
    <t>Narayan</t>
  </si>
  <si>
    <t>Kailash</t>
  </si>
  <si>
    <t>Rajaram</t>
  </si>
  <si>
    <t>Hajari</t>
  </si>
  <si>
    <t>Jagalal</t>
  </si>
  <si>
    <t>Prakash</t>
  </si>
  <si>
    <t>Lakharam</t>
  </si>
  <si>
    <t>Shobelal Kainawat</t>
  </si>
  <si>
    <t>B.M.</t>
  </si>
  <si>
    <t>Urkuda</t>
  </si>
  <si>
    <t>Baggu</t>
  </si>
  <si>
    <t>Fagu Turkar</t>
  </si>
  <si>
    <t>Shobhelal</t>
  </si>
  <si>
    <t>Rambaks Mittu Rahangadale</t>
  </si>
  <si>
    <t>Bhudhusav</t>
  </si>
  <si>
    <t>Harelal</t>
  </si>
  <si>
    <t>Mathru</t>
  </si>
  <si>
    <t>Suklal</t>
  </si>
  <si>
    <t>Khetri</t>
  </si>
  <si>
    <t>Metha</t>
  </si>
  <si>
    <t>Sakatu</t>
  </si>
  <si>
    <t>Fulichand</t>
  </si>
  <si>
    <t>Sakharam</t>
  </si>
  <si>
    <t>Bayapar</t>
  </si>
  <si>
    <t>Laxaman</t>
  </si>
  <si>
    <t>Rupchand</t>
  </si>
  <si>
    <t>Zagadu</t>
  </si>
  <si>
    <t>Brijlal</t>
  </si>
  <si>
    <t>Teklal Turkar</t>
  </si>
  <si>
    <t>Jaggu</t>
  </si>
  <si>
    <t>Ramdas</t>
  </si>
  <si>
    <t>Gosai</t>
  </si>
  <si>
    <t>Pardesh</t>
  </si>
  <si>
    <t>Munnalal</t>
  </si>
  <si>
    <t>Adityakumar Dwivedi</t>
  </si>
  <si>
    <t>Munilal</t>
  </si>
  <si>
    <t>Bhayalal</t>
  </si>
  <si>
    <t>Sobhelal</t>
  </si>
  <si>
    <t>Dongaru</t>
  </si>
  <si>
    <t>Saktu Kolhatkar</t>
  </si>
  <si>
    <t>Harichand</t>
  </si>
  <si>
    <t>Hemraj</t>
  </si>
  <si>
    <t>Badati</t>
  </si>
  <si>
    <t>Sukalal Turkar</t>
  </si>
  <si>
    <t>Lakshaman</t>
  </si>
  <si>
    <t>Chambharu Kolhatkar</t>
  </si>
  <si>
    <t>Arjun</t>
  </si>
  <si>
    <t>Lakhan</t>
  </si>
  <si>
    <t>Rajkumar Kolhatk</t>
  </si>
  <si>
    <t>Dariyav</t>
  </si>
  <si>
    <t>Modku</t>
  </si>
  <si>
    <t>Punaram</t>
  </si>
  <si>
    <t>Jagusav</t>
  </si>
  <si>
    <t>Pandusav</t>
  </si>
  <si>
    <t>Jivan</t>
  </si>
  <si>
    <t>Baiga</t>
  </si>
  <si>
    <t>Sukadu</t>
  </si>
  <si>
    <t>Atmaram</t>
  </si>
  <si>
    <t>Maroti</t>
  </si>
  <si>
    <t>Jaggusao</t>
  </si>
  <si>
    <t>Mitthusao</t>
  </si>
  <si>
    <t>Ranglal</t>
  </si>
  <si>
    <t>Sahaj</t>
  </si>
  <si>
    <t>Nandkishor</t>
  </si>
  <si>
    <t>Lataru</t>
  </si>
  <si>
    <t>Shivalal Turkar</t>
  </si>
  <si>
    <t>Domaji</t>
  </si>
  <si>
    <t>Parmeshwar</t>
  </si>
  <si>
    <t>Suka</t>
  </si>
  <si>
    <t>Yuvraj Kolhatkar</t>
  </si>
  <si>
    <t>Ganapat</t>
  </si>
  <si>
    <t>Mohanlal</t>
  </si>
  <si>
    <t>Dulichnad</t>
  </si>
  <si>
    <t>Maniklal</t>
  </si>
  <si>
    <t>Faglal</t>
  </si>
  <si>
    <t>Bakaram</t>
  </si>
  <si>
    <t>Kodu</t>
  </si>
  <si>
    <t>Nandlal</t>
  </si>
  <si>
    <t>Devdas</t>
  </si>
  <si>
    <t>Tilak</t>
  </si>
  <si>
    <t>Rupachand Sonwane</t>
  </si>
  <si>
    <t>Netram</t>
  </si>
  <si>
    <t>Bhagatlal</t>
  </si>
  <si>
    <t>Yado</t>
  </si>
  <si>
    <t>Devendra</t>
  </si>
  <si>
    <t>Pendhari</t>
  </si>
  <si>
    <t>Baiyar</t>
  </si>
  <si>
    <t>Janardan</t>
  </si>
  <si>
    <t>Pritlal</t>
  </si>
  <si>
    <t>Sovind</t>
  </si>
  <si>
    <t>Chambharu</t>
  </si>
  <si>
    <t>total farmer</t>
  </si>
  <si>
    <t>Row Labels</t>
  </si>
  <si>
    <t>Grand Total</t>
  </si>
  <si>
    <t>Count of Farmar  Category</t>
  </si>
  <si>
    <t>Physically Handicapped</t>
  </si>
  <si>
    <t>Sum of Annual_Farming_Income_INR</t>
  </si>
  <si>
    <t xml:space="preserve">Avarage income </t>
  </si>
  <si>
    <t>Sum of Land_Size_Acres</t>
  </si>
  <si>
    <t>avarege land area (acres)</t>
  </si>
  <si>
    <t>KPI'S</t>
  </si>
  <si>
    <t>Count of Gender</t>
  </si>
  <si>
    <t>Count of Main_Crop</t>
  </si>
  <si>
    <t>Count of Land_Ownership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</si>
</sst>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Inherit"/>
    </font>
    <font>
      <b/>
      <sz val="9"/>
      <color theme="0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95C1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1" fontId="2" fillId="2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0" borderId="0" xfId="0" pivotButton="1"/>
    <xf numFmtId="1" fontId="0" fillId="0" borderId="0" xfId="0" applyNumberFormat="1"/>
    <xf numFmtId="0" fontId="1" fillId="0" borderId="0" xfId="0" applyFont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A5F1C2"/>
      <color rgb="FFE5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Relationship Id="rId4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[village_farmer_analytics.xlsx]insight!PivotTable2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2">
                    <a:lumMod val="75000"/>
                  </a:schemeClr>
                </a:solidFill>
              </a:rPr>
              <a:t>Famers</a:t>
            </a:r>
            <a:r>
              <a:rPr lang="en-US" sz="2000" b="1" baseline="0">
                <a:solidFill>
                  <a:schemeClr val="tx2">
                    <a:lumMod val="75000"/>
                  </a:schemeClr>
                </a:solidFill>
              </a:rPr>
              <a:t> By Types</a:t>
            </a:r>
            <a:endParaRPr lang="en-US" sz="2000" b="1">
              <a:solidFill>
                <a:schemeClr val="tx2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12018589126343819"/>
          <c:y val="2.6702394028913921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Aldhabi" panose="020F0502020204030204" pitchFamily="2" charset="-78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Aldhabi" panose="020F0502020204030204" pitchFamily="2" charset="-78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Aldhabi" panose="020F0502020204030204" pitchFamily="2" charset="-78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8689902134326237E-2"/>
          <c:y val="0.1767560596981452"/>
          <c:w val="0.42369610775397254"/>
          <c:h val="0.72973027904222243"/>
        </c:manualLayout>
      </c:layout>
      <c:doughnutChart>
        <c:varyColors val="1"/>
        <c:ser>
          <c:idx val="0"/>
          <c:order val="0"/>
          <c:tx>
            <c:strRef>
              <c:f>insight!$D$3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0DB-4469-B0AD-54608A7CF0D6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0DB-4469-B0AD-54608A7CF0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0DB-4469-B0AD-54608A7CF0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0DB-4469-B0AD-54608A7CF0D6}"/>
              </c:ext>
            </c:extLst>
          </c:dPt>
          <c:dPt>
            <c:idx val="4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0DB-4469-B0AD-54608A7CF0D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0DB-4469-B0AD-54608A7CF0D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0DB-4469-B0AD-54608A7CF0D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0DB-4469-B0AD-54608A7CF0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Aldhabi" panose="020F0502020204030204" pitchFamily="2" charset="-78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insight!$C$4:$C$12</c:f>
              <c:strCache>
                <c:ptCount val="8"/>
                <c:pt idx="0">
                  <c:v>GENERAL</c:v>
                </c:pt>
                <c:pt idx="1">
                  <c:v>Landless with homestead</c:v>
                </c:pt>
                <c:pt idx="2">
                  <c:v>Other</c:v>
                </c:pt>
                <c:pt idx="3">
                  <c:v>Physically Handicapped</c:v>
                </c:pt>
                <c:pt idx="4">
                  <c:v>SC</c:v>
                </c:pt>
                <c:pt idx="5">
                  <c:v>Small &amp; Marginal Farmers</c:v>
                </c:pt>
                <c:pt idx="6">
                  <c:v>ST</c:v>
                </c:pt>
                <c:pt idx="7">
                  <c:v>Women Headed HH</c:v>
                </c:pt>
              </c:strCache>
            </c:strRef>
          </c:cat>
          <c:val>
            <c:numRef>
              <c:f>insight!$D$4:$D$12</c:f>
              <c:numCache>
                <c:formatCode>General</c:formatCode>
                <c:ptCount val="8"/>
                <c:pt idx="0">
                  <c:v>97</c:v>
                </c:pt>
                <c:pt idx="1">
                  <c:v>255</c:v>
                </c:pt>
                <c:pt idx="2">
                  <c:v>10</c:v>
                </c:pt>
                <c:pt idx="3">
                  <c:v>1</c:v>
                </c:pt>
                <c:pt idx="4">
                  <c:v>81</c:v>
                </c:pt>
                <c:pt idx="5">
                  <c:v>185</c:v>
                </c:pt>
                <c:pt idx="6">
                  <c:v>44</c:v>
                </c:pt>
                <c:pt idx="7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0DB-4469-B0AD-54608A7CF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3531184026661316"/>
          <c:y val="7.5403016284507962E-2"/>
          <c:w val="0.38367322308934315"/>
          <c:h val="0.858340315619281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4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[village_farmer_analytics.xlsx]insight!PivotTable6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000" b="1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Main Crops Grown</a:t>
            </a:r>
          </a:p>
        </c:rich>
      </c:tx>
      <c:layout>
        <c:manualLayout>
          <c:xMode val="edge"/>
          <c:yMode val="edge"/>
          <c:x val="6.5074170522329153E-2"/>
          <c:y val="1.33228801759039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000" b="1" i="0" u="none" strike="noStrike" kern="1200" spc="0" baseline="0">
              <a:solidFill>
                <a:schemeClr val="tx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1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1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borderCallout1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7756370554419252E-2"/>
          <c:y val="0.22954229234555121"/>
          <c:w val="0.47818233105974112"/>
          <c:h val="0.58149796107378104"/>
        </c:manualLayout>
      </c:layout>
      <c:pieChart>
        <c:varyColors val="1"/>
        <c:ser>
          <c:idx val="0"/>
          <c:order val="0"/>
          <c:tx>
            <c:strRef>
              <c:f>insight!$H$15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E0A-4A54-8295-CADA793B94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E0A-4A54-8295-CADA793B94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E0A-4A54-8295-CADA793B94F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E0A-4A54-8295-CADA793B94F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E0A-4A54-8295-CADA793B94F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E0A-4A54-8295-CADA793B94F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E0A-4A54-8295-CADA793B94F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E0A-4A54-8295-CADA793B94F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E0A-4A54-8295-CADA793B94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borderCallout1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insight!$G$16:$G$25</c:f>
              <c:strCache>
                <c:ptCount val="9"/>
                <c:pt idx="0">
                  <c:v>Chickpea</c:v>
                </c:pt>
                <c:pt idx="1">
                  <c:v>Cotton</c:v>
                </c:pt>
                <c:pt idx="2">
                  <c:v>Maize</c:v>
                </c:pt>
                <c:pt idx="3">
                  <c:v>Not applicable</c:v>
                </c:pt>
                <c:pt idx="4">
                  <c:v>Rice</c:v>
                </c:pt>
                <c:pt idx="5">
                  <c:v>Soybean</c:v>
                </c:pt>
                <c:pt idx="6">
                  <c:v>Tur (Pigeon Pea)</c:v>
                </c:pt>
                <c:pt idx="7">
                  <c:v>Vegetables</c:v>
                </c:pt>
                <c:pt idx="8">
                  <c:v>Wheat</c:v>
                </c:pt>
              </c:strCache>
            </c:strRef>
          </c:cat>
          <c:val>
            <c:numRef>
              <c:f>insight!$H$16:$H$25</c:f>
              <c:numCache>
                <c:formatCode>General</c:formatCode>
                <c:ptCount val="9"/>
                <c:pt idx="0">
                  <c:v>34</c:v>
                </c:pt>
                <c:pt idx="1">
                  <c:v>26</c:v>
                </c:pt>
                <c:pt idx="2">
                  <c:v>12</c:v>
                </c:pt>
                <c:pt idx="3">
                  <c:v>255</c:v>
                </c:pt>
                <c:pt idx="4">
                  <c:v>201</c:v>
                </c:pt>
                <c:pt idx="5">
                  <c:v>80</c:v>
                </c:pt>
                <c:pt idx="6">
                  <c:v>65</c:v>
                </c:pt>
                <c:pt idx="7">
                  <c:v>30</c:v>
                </c:pt>
                <c:pt idx="8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E0A-4A54-8295-CADA793B9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712271095689306"/>
          <c:y val="0.11074919087334539"/>
          <c:w val="0.33178448857841475"/>
          <c:h val="0.835695669933857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[village_farmer_analytics.xlsx]insight!PivotTable7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000" b="1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Land Ownership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000" b="1" i="0" u="none" strike="noStrike" kern="1200" spc="0" baseline="0">
              <a:solidFill>
                <a:schemeClr val="tx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</c:pivotFmt>
      <c:pivotFmt>
        <c:idx val="4"/>
        <c:spPr>
          <a:solidFill>
            <a:srgbClr val="F79646">
              <a:lumMod val="75000"/>
            </a:srgbClr>
          </a:solidFill>
          <a:ln>
            <a:noFill/>
          </a:ln>
          <a:effectLst/>
        </c:spPr>
      </c:pivotFmt>
      <c:pivotFmt>
        <c:idx val="5"/>
        <c:spPr>
          <a:solidFill>
            <a:srgbClr val="7030A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insight!$L$15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79646">
                  <a:lumMod val="75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9C7-4D7D-9018-91F637264493}"/>
              </c:ext>
            </c:extLst>
          </c:dPt>
          <c:dPt>
            <c:idx val="1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9C7-4D7D-9018-91F637264493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9C7-4D7D-9018-91F637264493}"/>
              </c:ext>
            </c:extLst>
          </c:dPt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9C7-4D7D-9018-91F6372644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insight!$K$16:$K$20</c:f>
              <c:strCache>
                <c:ptCount val="4"/>
                <c:pt idx="0">
                  <c:v>Leased</c:v>
                </c:pt>
                <c:pt idx="1">
                  <c:v>No agricultural land</c:v>
                </c:pt>
                <c:pt idx="2">
                  <c:v>Owned</c:v>
                </c:pt>
                <c:pt idx="3">
                  <c:v>Partly owned / partly leased</c:v>
                </c:pt>
              </c:strCache>
            </c:strRef>
          </c:cat>
          <c:val>
            <c:numRef>
              <c:f>insight!$L$16:$L$20</c:f>
              <c:numCache>
                <c:formatCode>General</c:formatCode>
                <c:ptCount val="4"/>
                <c:pt idx="0">
                  <c:v>77</c:v>
                </c:pt>
                <c:pt idx="1">
                  <c:v>255</c:v>
                </c:pt>
                <c:pt idx="2">
                  <c:v>371</c:v>
                </c:pt>
                <c:pt idx="3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C7-4D7D-9018-91F637264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7409872"/>
        <c:axId val="1534322352"/>
      </c:barChart>
      <c:catAx>
        <c:axId val="93740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322352"/>
        <c:crosses val="autoZero"/>
        <c:auto val="1"/>
        <c:lblAlgn val="ctr"/>
        <c:lblOffset val="100"/>
        <c:noMultiLvlLbl val="0"/>
      </c:catAx>
      <c:valAx>
        <c:axId val="153432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409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[village_farmer_analytics.xlsx]insight!PivotTable4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258092738407699"/>
          <c:y val="0.17592592592592593"/>
          <c:w val="0.47769738576272952"/>
          <c:h val="0.422291484397783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insight!$G$3</c:f>
              <c:strCache>
                <c:ptCount val="1"/>
                <c:pt idx="0">
                  <c:v>Sum of Annual_Farming_Income_INR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insight!$F$4:$F$12</c:f>
              <c:strCache>
                <c:ptCount val="8"/>
                <c:pt idx="0">
                  <c:v>GENERAL</c:v>
                </c:pt>
                <c:pt idx="1">
                  <c:v>Landless with homestead</c:v>
                </c:pt>
                <c:pt idx="2">
                  <c:v>Other</c:v>
                </c:pt>
                <c:pt idx="3">
                  <c:v>Physically Handicapped</c:v>
                </c:pt>
                <c:pt idx="4">
                  <c:v>SC</c:v>
                </c:pt>
                <c:pt idx="5">
                  <c:v>Small &amp; Marginal Farmers</c:v>
                </c:pt>
                <c:pt idx="6">
                  <c:v>ST</c:v>
                </c:pt>
                <c:pt idx="7">
                  <c:v>Women Headed HH</c:v>
                </c:pt>
              </c:strCache>
            </c:strRef>
          </c:cat>
          <c:val>
            <c:numRef>
              <c:f>insight!$G$4:$G$12</c:f>
              <c:numCache>
                <c:formatCode>0</c:formatCode>
                <c:ptCount val="8"/>
                <c:pt idx="0">
                  <c:v>6230000</c:v>
                </c:pt>
                <c:pt idx="1">
                  <c:v>0</c:v>
                </c:pt>
                <c:pt idx="2">
                  <c:v>513000</c:v>
                </c:pt>
                <c:pt idx="3">
                  <c:v>16000</c:v>
                </c:pt>
                <c:pt idx="4">
                  <c:v>5981000</c:v>
                </c:pt>
                <c:pt idx="5">
                  <c:v>17615000</c:v>
                </c:pt>
                <c:pt idx="6">
                  <c:v>4266000</c:v>
                </c:pt>
                <c:pt idx="7">
                  <c:v>4122000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3A-457C-8E2C-5C00DBC7E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7592368"/>
        <c:axId val="1534380912"/>
      </c:barChart>
      <c:lineChart>
        <c:grouping val="standard"/>
        <c:varyColors val="0"/>
        <c:ser>
          <c:idx val="1"/>
          <c:order val="1"/>
          <c:tx>
            <c:strRef>
              <c:f>insight!$H$3</c:f>
              <c:strCache>
                <c:ptCount val="1"/>
                <c:pt idx="0">
                  <c:v>Sum of Land_Size_Acres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insight!$F$4:$F$12</c:f>
              <c:strCache>
                <c:ptCount val="8"/>
                <c:pt idx="0">
                  <c:v>GENERAL</c:v>
                </c:pt>
                <c:pt idx="1">
                  <c:v>Landless with homestead</c:v>
                </c:pt>
                <c:pt idx="2">
                  <c:v>Other</c:v>
                </c:pt>
                <c:pt idx="3">
                  <c:v>Physically Handicapped</c:v>
                </c:pt>
                <c:pt idx="4">
                  <c:v>SC</c:v>
                </c:pt>
                <c:pt idx="5">
                  <c:v>Small &amp; Marginal Farmers</c:v>
                </c:pt>
                <c:pt idx="6">
                  <c:v>ST</c:v>
                </c:pt>
                <c:pt idx="7">
                  <c:v>Women Headed HH</c:v>
                </c:pt>
              </c:strCache>
            </c:strRef>
          </c:cat>
          <c:val>
            <c:numRef>
              <c:f>insight!$H$4:$H$12</c:f>
              <c:numCache>
                <c:formatCode>General</c:formatCode>
                <c:ptCount val="8"/>
                <c:pt idx="0">
                  <c:v>173.43999999999994</c:v>
                </c:pt>
                <c:pt idx="1">
                  <c:v>0</c:v>
                </c:pt>
                <c:pt idx="2">
                  <c:v>16.2</c:v>
                </c:pt>
                <c:pt idx="3">
                  <c:v>0.66</c:v>
                </c:pt>
                <c:pt idx="4">
                  <c:v>155.26999999999995</c:v>
                </c:pt>
                <c:pt idx="5">
                  <c:v>448.23000000000013</c:v>
                </c:pt>
                <c:pt idx="6">
                  <c:v>111.81000000000002</c:v>
                </c:pt>
                <c:pt idx="7">
                  <c:v>116.23000000000002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3A-457C-8E2C-5C00DBC7E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7241952"/>
        <c:axId val="1534370352"/>
      </c:lineChart>
      <c:catAx>
        <c:axId val="143759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380912"/>
        <c:crosses val="autoZero"/>
        <c:auto val="1"/>
        <c:lblAlgn val="ctr"/>
        <c:lblOffset val="100"/>
        <c:noMultiLvlLbl val="0"/>
      </c:catAx>
      <c:valAx>
        <c:axId val="153438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592368"/>
        <c:crosses val="autoZero"/>
        <c:crossBetween val="between"/>
      </c:valAx>
      <c:valAx>
        <c:axId val="15343703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241952"/>
        <c:crosses val="max"/>
        <c:crossBetween val="between"/>
      </c:valAx>
      <c:catAx>
        <c:axId val="15972419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34370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4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13" Type="http://schemas.openxmlformats.org/officeDocument/2006/relationships/image" Target="../media/image10.svg"/><Relationship Id="rId18" Type="http://schemas.openxmlformats.org/officeDocument/2006/relationships/image" Target="../media/image15.png"/><Relationship Id="rId26" Type="http://schemas.openxmlformats.org/officeDocument/2006/relationships/chart" Target="../charts/chart3.xml"/><Relationship Id="rId3" Type="http://schemas.openxmlformats.org/officeDocument/2006/relationships/hyperlink" Target="#daskboard!A1"/><Relationship Id="rId21" Type="http://schemas.openxmlformats.org/officeDocument/2006/relationships/image" Target="../media/image18.svg"/><Relationship Id="rId7" Type="http://schemas.openxmlformats.org/officeDocument/2006/relationships/image" Target="../media/image5.png"/><Relationship Id="rId12" Type="http://schemas.openxmlformats.org/officeDocument/2006/relationships/image" Target="../media/image9.png"/><Relationship Id="rId17" Type="http://schemas.openxmlformats.org/officeDocument/2006/relationships/image" Target="../media/image14.svg"/><Relationship Id="rId25" Type="http://schemas.openxmlformats.org/officeDocument/2006/relationships/chart" Target="../charts/chart2.xml"/><Relationship Id="rId2" Type="http://schemas.openxmlformats.org/officeDocument/2006/relationships/image" Target="../media/image2.svg"/><Relationship Id="rId16" Type="http://schemas.openxmlformats.org/officeDocument/2006/relationships/image" Target="../media/image13.png"/><Relationship Id="rId20" Type="http://schemas.openxmlformats.org/officeDocument/2006/relationships/image" Target="../media/image17.png"/><Relationship Id="rId29" Type="http://schemas.openxmlformats.org/officeDocument/2006/relationships/image" Target="../media/image21.png"/><Relationship Id="rId1" Type="http://schemas.openxmlformats.org/officeDocument/2006/relationships/image" Target="../media/image1.png"/><Relationship Id="rId6" Type="http://schemas.openxmlformats.org/officeDocument/2006/relationships/hyperlink" Target="#dataset!A1"/><Relationship Id="rId11" Type="http://schemas.openxmlformats.org/officeDocument/2006/relationships/image" Target="../media/image8.svg"/><Relationship Id="rId24" Type="http://schemas.openxmlformats.org/officeDocument/2006/relationships/chart" Target="../charts/chart1.xml"/><Relationship Id="rId5" Type="http://schemas.openxmlformats.org/officeDocument/2006/relationships/image" Target="../media/image4.svg"/><Relationship Id="rId15" Type="http://schemas.openxmlformats.org/officeDocument/2006/relationships/image" Target="../media/image12.svg"/><Relationship Id="rId23" Type="http://schemas.openxmlformats.org/officeDocument/2006/relationships/image" Target="../media/image20.svg"/><Relationship Id="rId28" Type="http://schemas.openxmlformats.org/officeDocument/2006/relationships/hyperlink" Target="#insight!A1"/><Relationship Id="rId10" Type="http://schemas.openxmlformats.org/officeDocument/2006/relationships/image" Target="../media/image7.png"/><Relationship Id="rId19" Type="http://schemas.openxmlformats.org/officeDocument/2006/relationships/image" Target="../media/image16.svg"/><Relationship Id="rId4" Type="http://schemas.openxmlformats.org/officeDocument/2006/relationships/image" Target="../media/image3.png"/><Relationship Id="rId9" Type="http://schemas.openxmlformats.org/officeDocument/2006/relationships/hyperlink" Target="#'Data Notes'!A1"/><Relationship Id="rId14" Type="http://schemas.openxmlformats.org/officeDocument/2006/relationships/image" Target="../media/image11.png"/><Relationship Id="rId22" Type="http://schemas.openxmlformats.org/officeDocument/2006/relationships/image" Target="../media/image19.png"/><Relationship Id="rId27" Type="http://schemas.openxmlformats.org/officeDocument/2006/relationships/chart" Target="../charts/chart4.xml"/><Relationship Id="rId30" Type="http://schemas.openxmlformats.org/officeDocument/2006/relationships/image" Target="../media/image22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13" Type="http://schemas.openxmlformats.org/officeDocument/2006/relationships/image" Target="../media/image21.png"/><Relationship Id="rId3" Type="http://schemas.openxmlformats.org/officeDocument/2006/relationships/hyperlink" Target="#daskboard!A1"/><Relationship Id="rId7" Type="http://schemas.openxmlformats.org/officeDocument/2006/relationships/image" Target="../media/image5.png"/><Relationship Id="rId12" Type="http://schemas.openxmlformats.org/officeDocument/2006/relationships/hyperlink" Target="#insight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#dataset!A1"/><Relationship Id="rId11" Type="http://schemas.openxmlformats.org/officeDocument/2006/relationships/image" Target="../media/image8.svg"/><Relationship Id="rId5" Type="http://schemas.openxmlformats.org/officeDocument/2006/relationships/image" Target="../media/image4.svg"/><Relationship Id="rId10" Type="http://schemas.openxmlformats.org/officeDocument/2006/relationships/image" Target="../media/image7.png"/><Relationship Id="rId4" Type="http://schemas.openxmlformats.org/officeDocument/2006/relationships/image" Target="../media/image3.png"/><Relationship Id="rId9" Type="http://schemas.openxmlformats.org/officeDocument/2006/relationships/hyperlink" Target="#'Data Notes'!A1"/><Relationship Id="rId14" Type="http://schemas.openxmlformats.org/officeDocument/2006/relationships/image" Target="../media/image22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13" Type="http://schemas.openxmlformats.org/officeDocument/2006/relationships/image" Target="../media/image21.png"/><Relationship Id="rId3" Type="http://schemas.openxmlformats.org/officeDocument/2006/relationships/hyperlink" Target="#daskboard!A1"/><Relationship Id="rId7" Type="http://schemas.openxmlformats.org/officeDocument/2006/relationships/image" Target="../media/image5.png"/><Relationship Id="rId12" Type="http://schemas.openxmlformats.org/officeDocument/2006/relationships/hyperlink" Target="#insight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#dataset!A1"/><Relationship Id="rId11" Type="http://schemas.openxmlformats.org/officeDocument/2006/relationships/image" Target="../media/image8.svg"/><Relationship Id="rId5" Type="http://schemas.openxmlformats.org/officeDocument/2006/relationships/image" Target="../media/image4.svg"/><Relationship Id="rId10" Type="http://schemas.openxmlformats.org/officeDocument/2006/relationships/image" Target="../media/image7.png"/><Relationship Id="rId4" Type="http://schemas.openxmlformats.org/officeDocument/2006/relationships/image" Target="../media/image3.png"/><Relationship Id="rId9" Type="http://schemas.openxmlformats.org/officeDocument/2006/relationships/hyperlink" Target="#'Data Notes'!A1"/><Relationship Id="rId14" Type="http://schemas.openxmlformats.org/officeDocument/2006/relationships/image" Target="../media/image22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.png"/><Relationship Id="rId3" Type="http://schemas.openxmlformats.org/officeDocument/2006/relationships/image" Target="../media/image4.svg"/><Relationship Id="rId7" Type="http://schemas.openxmlformats.org/officeDocument/2006/relationships/hyperlink" Target="#'Data Notes'!A1"/><Relationship Id="rId12" Type="http://schemas.openxmlformats.org/officeDocument/2006/relationships/image" Target="../media/image22.svg"/><Relationship Id="rId2" Type="http://schemas.openxmlformats.org/officeDocument/2006/relationships/image" Target="../media/image3.png"/><Relationship Id="rId1" Type="http://schemas.openxmlformats.org/officeDocument/2006/relationships/hyperlink" Target="#daskboard!A1"/><Relationship Id="rId6" Type="http://schemas.openxmlformats.org/officeDocument/2006/relationships/image" Target="../media/image6.svg"/><Relationship Id="rId11" Type="http://schemas.openxmlformats.org/officeDocument/2006/relationships/image" Target="../media/image21.png"/><Relationship Id="rId5" Type="http://schemas.openxmlformats.org/officeDocument/2006/relationships/image" Target="../media/image5.png"/><Relationship Id="rId10" Type="http://schemas.openxmlformats.org/officeDocument/2006/relationships/hyperlink" Target="#insight!A1"/><Relationship Id="rId4" Type="http://schemas.openxmlformats.org/officeDocument/2006/relationships/hyperlink" Target="#dataset!A1"/><Relationship Id="rId9" Type="http://schemas.openxmlformats.org/officeDocument/2006/relationships/image" Target="../media/image8.svg"/><Relationship Id="rId14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1147482</xdr:colOff>
      <xdr:row>0</xdr:row>
      <xdr:rowOff>119106</xdr:rowOff>
    </xdr:from>
    <xdr:to>
      <xdr:col>10</xdr:col>
      <xdr:colOff>421341</xdr:colOff>
      <xdr:row>6</xdr:row>
      <xdr:rowOff>14729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B4AAF4DC-9235-B8C8-3D06-7D321DC6DDB7}"/>
            </a:ext>
          </a:extLst>
        </xdr:cNvPr>
        <xdr:cNvSpPr/>
      </xdr:nvSpPr>
      <xdr:spPr>
        <a:xfrm>
          <a:off x="2050996" y="119106"/>
          <a:ext cx="5816174" cy="1005966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accent1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32657</xdr:rowOff>
    </xdr:from>
    <xdr:to>
      <xdr:col>1</xdr:col>
      <xdr:colOff>1048870</xdr:colOff>
      <xdr:row>40</xdr:row>
      <xdr:rowOff>108857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C37EA1F-F435-3E75-1EE8-9862D47D5622}"/>
            </a:ext>
          </a:extLst>
        </xdr:cNvPr>
        <xdr:cNvSpPr/>
      </xdr:nvSpPr>
      <xdr:spPr>
        <a:xfrm>
          <a:off x="0" y="32657"/>
          <a:ext cx="1952384" cy="7478486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1353669</xdr:colOff>
      <xdr:row>0</xdr:row>
      <xdr:rowOff>92848</xdr:rowOff>
    </xdr:from>
    <xdr:to>
      <xdr:col>10</xdr:col>
      <xdr:colOff>421341</xdr:colOff>
      <xdr:row>5</xdr:row>
      <xdr:rowOff>65953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3E8C4A5-71AB-6397-BAB3-3775EC2407A1}"/>
            </a:ext>
          </a:extLst>
        </xdr:cNvPr>
        <xdr:cNvSpPr txBox="1"/>
      </xdr:nvSpPr>
      <xdr:spPr>
        <a:xfrm>
          <a:off x="2257183" y="92848"/>
          <a:ext cx="5609987" cy="8983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800" b="1">
              <a:solidFill>
                <a:schemeClr val="tx2">
                  <a:lumMod val="50000"/>
                </a:schemeClr>
              </a:solidFill>
            </a:rPr>
            <a:t>Village Farmer Survey Analysis </a:t>
          </a:r>
        </a:p>
        <a:p>
          <a:r>
            <a:rPr lang="en-IN" sz="1400" b="0">
              <a:ln>
                <a:solidFill>
                  <a:schemeClr val="tx1"/>
                </a:solidFill>
              </a:ln>
              <a:solidFill>
                <a:schemeClr val="tx2">
                  <a:lumMod val="50000"/>
                </a:schemeClr>
              </a:solidFill>
            </a:rPr>
            <a:t>Understanding</a:t>
          </a:r>
          <a:r>
            <a:rPr lang="en-IN" sz="1400" b="0" baseline="0">
              <a:ln>
                <a:solidFill>
                  <a:schemeClr val="tx1"/>
                </a:solidFill>
              </a:ln>
              <a:solidFill>
                <a:schemeClr val="tx2">
                  <a:lumMod val="50000"/>
                </a:schemeClr>
              </a:solidFill>
            </a:rPr>
            <a:t> Formers | Improving Agriculture | Building a Better Future</a:t>
          </a:r>
          <a:endParaRPr lang="en-IN" sz="1400" b="0">
            <a:ln>
              <a:solidFill>
                <a:schemeClr val="tx1"/>
              </a:solidFill>
            </a:ln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242047</xdr:colOff>
      <xdr:row>1</xdr:row>
      <xdr:rowOff>71717</xdr:rowOff>
    </xdr:from>
    <xdr:to>
      <xdr:col>1</xdr:col>
      <xdr:colOff>1004046</xdr:colOff>
      <xdr:row>6</xdr:row>
      <xdr:rowOff>80681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8A9EDDF-C3B1-A7A5-849E-FA5316B4F7D2}"/>
            </a:ext>
          </a:extLst>
        </xdr:cNvPr>
        <xdr:cNvSpPr txBox="1"/>
      </xdr:nvSpPr>
      <xdr:spPr>
        <a:xfrm>
          <a:off x="242047" y="251011"/>
          <a:ext cx="1658470" cy="9054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bg1"/>
              </a:solidFill>
              <a:latin typeface="+mn-lt"/>
              <a:ea typeface="+mn-ea"/>
              <a:cs typeface="+mn-cs"/>
            </a:rPr>
            <a:t>Farmer Servey Dashboard</a:t>
          </a:r>
        </a:p>
      </xdr:txBody>
    </xdr:sp>
    <xdr:clientData/>
  </xdr:twoCellAnchor>
  <xdr:twoCellAnchor editAs="oneCell">
    <xdr:from>
      <xdr:col>0</xdr:col>
      <xdr:colOff>286871</xdr:colOff>
      <xdr:row>0</xdr:row>
      <xdr:rowOff>60961</xdr:rowOff>
    </xdr:from>
    <xdr:to>
      <xdr:col>0</xdr:col>
      <xdr:colOff>699247</xdr:colOff>
      <xdr:row>1</xdr:row>
      <xdr:rowOff>170330</xdr:rowOff>
    </xdr:to>
    <xdr:pic>
      <xdr:nvPicPr>
        <xdr:cNvPr id="10" name="Graphic 9" descr="Leaf with solid fill">
          <a:extLst>
            <a:ext uri="{FF2B5EF4-FFF2-40B4-BE49-F238E27FC236}">
              <a16:creationId xmlns:a16="http://schemas.microsoft.com/office/drawing/2014/main" id="{01179A6E-4D43-4F75-6BD2-81C0B9DDC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6871" y="60961"/>
          <a:ext cx="412376" cy="288663"/>
        </a:xfrm>
        <a:prstGeom prst="rect">
          <a:avLst/>
        </a:prstGeom>
      </xdr:spPr>
    </xdr:pic>
    <xdr:clientData/>
  </xdr:twoCellAnchor>
  <xdr:twoCellAnchor editAs="oneCell">
    <xdr:from>
      <xdr:col>0</xdr:col>
      <xdr:colOff>412377</xdr:colOff>
      <xdr:row>6</xdr:row>
      <xdr:rowOff>71717</xdr:rowOff>
    </xdr:from>
    <xdr:to>
      <xdr:col>1</xdr:col>
      <xdr:colOff>484094</xdr:colOff>
      <xdr:row>11</xdr:row>
      <xdr:rowOff>143435</xdr:rowOff>
    </xdr:to>
    <xdr:pic>
      <xdr:nvPicPr>
        <xdr:cNvPr id="14" name="Graphic 13" descr="Bar chart outlin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355AA64-8888-6222-2DED-E0F997507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412377" y="1147482"/>
          <a:ext cx="968188" cy="968188"/>
        </a:xfrm>
        <a:prstGeom prst="rect">
          <a:avLst/>
        </a:prstGeom>
      </xdr:spPr>
    </xdr:pic>
    <xdr:clientData/>
  </xdr:twoCellAnchor>
  <xdr:twoCellAnchor editAs="oneCell">
    <xdr:from>
      <xdr:col>0</xdr:col>
      <xdr:colOff>430305</xdr:colOff>
      <xdr:row>14</xdr:row>
      <xdr:rowOff>116541</xdr:rowOff>
    </xdr:from>
    <xdr:to>
      <xdr:col>1</xdr:col>
      <xdr:colOff>448234</xdr:colOff>
      <xdr:row>19</xdr:row>
      <xdr:rowOff>134471</xdr:rowOff>
    </xdr:to>
    <xdr:pic>
      <xdr:nvPicPr>
        <xdr:cNvPr id="16" name="Graphic 15" descr="Database outline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B7BBC34-25F1-C98D-6DE8-E45A0CF00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30305" y="2626659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475130</xdr:colOff>
      <xdr:row>23</xdr:row>
      <xdr:rowOff>53788</xdr:rowOff>
    </xdr:from>
    <xdr:to>
      <xdr:col>1</xdr:col>
      <xdr:colOff>493059</xdr:colOff>
      <xdr:row>28</xdr:row>
      <xdr:rowOff>71718</xdr:rowOff>
    </xdr:to>
    <xdr:pic>
      <xdr:nvPicPr>
        <xdr:cNvPr id="18" name="Graphic 17" descr="Books with solid fill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BD6D3E0-34A8-8FC7-E423-6D5779D45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475130" y="4177553"/>
          <a:ext cx="914400" cy="914400"/>
        </a:xfrm>
        <a:prstGeom prst="rect">
          <a:avLst/>
        </a:prstGeom>
      </xdr:spPr>
    </xdr:pic>
    <xdr:clientData/>
  </xdr:twoCellAnchor>
  <xdr:twoCellAnchor>
    <xdr:from>
      <xdr:col>0</xdr:col>
      <xdr:colOff>233082</xdr:colOff>
      <xdr:row>10</xdr:row>
      <xdr:rowOff>116541</xdr:rowOff>
    </xdr:from>
    <xdr:to>
      <xdr:col>1</xdr:col>
      <xdr:colOff>788893</xdr:colOff>
      <xdr:row>12</xdr:row>
      <xdr:rowOff>107576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C2117C3-85F4-B951-4E54-33ACA13155F0}"/>
            </a:ext>
          </a:extLst>
        </xdr:cNvPr>
        <xdr:cNvSpPr txBox="1"/>
      </xdr:nvSpPr>
      <xdr:spPr>
        <a:xfrm>
          <a:off x="233082" y="1909482"/>
          <a:ext cx="1452282" cy="3496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Dashboard`</a:t>
          </a:r>
        </a:p>
      </xdr:txBody>
    </xdr:sp>
    <xdr:clientData/>
  </xdr:twoCellAnchor>
  <xdr:twoCellAnchor>
    <xdr:from>
      <xdr:col>0</xdr:col>
      <xdr:colOff>385482</xdr:colOff>
      <xdr:row>19</xdr:row>
      <xdr:rowOff>8966</xdr:rowOff>
    </xdr:from>
    <xdr:to>
      <xdr:col>1</xdr:col>
      <xdr:colOff>762000</xdr:colOff>
      <xdr:row>21</xdr:row>
      <xdr:rowOff>1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488CB33-A8F5-5FCE-508B-2AB15F688BBB}"/>
            </a:ext>
          </a:extLst>
        </xdr:cNvPr>
        <xdr:cNvSpPr txBox="1"/>
      </xdr:nvSpPr>
      <xdr:spPr>
        <a:xfrm>
          <a:off x="385482" y="3415554"/>
          <a:ext cx="1272989" cy="3496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Dataset</a:t>
          </a:r>
        </a:p>
      </xdr:txBody>
    </xdr:sp>
    <xdr:clientData/>
  </xdr:twoCellAnchor>
  <xdr:twoCellAnchor>
    <xdr:from>
      <xdr:col>0</xdr:col>
      <xdr:colOff>242046</xdr:colOff>
      <xdr:row>27</xdr:row>
      <xdr:rowOff>116542</xdr:rowOff>
    </xdr:from>
    <xdr:to>
      <xdr:col>1</xdr:col>
      <xdr:colOff>797857</xdr:colOff>
      <xdr:row>29</xdr:row>
      <xdr:rowOff>107577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6F10343B-BA30-A973-6C4A-C216B89FFC50}"/>
            </a:ext>
          </a:extLst>
        </xdr:cNvPr>
        <xdr:cNvSpPr txBox="1"/>
      </xdr:nvSpPr>
      <xdr:spPr>
        <a:xfrm>
          <a:off x="242046" y="4957483"/>
          <a:ext cx="1452282" cy="3496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Data</a:t>
          </a:r>
          <a:r>
            <a:rPr lang="en-IN" sz="2000" b="1" baseline="0">
              <a:solidFill>
                <a:schemeClr val="bg1"/>
              </a:solidFill>
            </a:rPr>
            <a:t> Notes</a:t>
          </a:r>
          <a:endParaRPr lang="en-IN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161366</xdr:colOff>
      <xdr:row>0</xdr:row>
      <xdr:rowOff>106296</xdr:rowOff>
    </xdr:from>
    <xdr:to>
      <xdr:col>15</xdr:col>
      <xdr:colOff>430305</xdr:colOff>
      <xdr:row>7</xdr:row>
      <xdr:rowOff>19851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4125B6A3-E37C-441A-9BDB-A962671B88A8}"/>
            </a:ext>
          </a:extLst>
        </xdr:cNvPr>
        <xdr:cNvSpPr/>
      </xdr:nvSpPr>
      <xdr:spPr>
        <a:xfrm>
          <a:off x="8216795" y="106296"/>
          <a:ext cx="2707339" cy="120895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accent1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11</xdr:col>
      <xdr:colOff>179294</xdr:colOff>
      <xdr:row>8</xdr:row>
      <xdr:rowOff>17930</xdr:rowOff>
    </xdr:from>
    <xdr:to>
      <xdr:col>15</xdr:col>
      <xdr:colOff>430305</xdr:colOff>
      <xdr:row>14</xdr:row>
      <xdr:rowOff>116542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719C100F-2F4C-944B-F9BB-6BE14B632122}"/>
            </a:ext>
          </a:extLst>
        </xdr:cNvPr>
        <xdr:cNvSpPr/>
      </xdr:nvSpPr>
      <xdr:spPr>
        <a:xfrm>
          <a:off x="8229600" y="1452283"/>
          <a:ext cx="2689411" cy="1174377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accent1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15</xdr:col>
      <xdr:colOff>591672</xdr:colOff>
      <xdr:row>0</xdr:row>
      <xdr:rowOff>108218</xdr:rowOff>
    </xdr:from>
    <xdr:to>
      <xdr:col>20</xdr:col>
      <xdr:colOff>143434</xdr:colOff>
      <xdr:row>7</xdr:row>
      <xdr:rowOff>21773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826F64AA-0BC0-A2E1-532A-39CA76DD8D81}"/>
            </a:ext>
          </a:extLst>
        </xdr:cNvPr>
        <xdr:cNvSpPr/>
      </xdr:nvSpPr>
      <xdr:spPr>
        <a:xfrm>
          <a:off x="11085501" y="108218"/>
          <a:ext cx="2599762" cy="1208955"/>
        </a:xfrm>
        <a:prstGeom prst="roundRect">
          <a:avLst/>
        </a:prstGeom>
        <a:solidFill>
          <a:srgbClr val="A5F1C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accent1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20</xdr:col>
      <xdr:colOff>349623</xdr:colOff>
      <xdr:row>8</xdr:row>
      <xdr:rowOff>0</xdr:rowOff>
    </xdr:from>
    <xdr:to>
      <xdr:col>24</xdr:col>
      <xdr:colOff>502022</xdr:colOff>
      <xdr:row>14</xdr:row>
      <xdr:rowOff>98612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B89390ED-1CE3-0CA6-A0E4-1BDCB428EA5E}"/>
            </a:ext>
          </a:extLst>
        </xdr:cNvPr>
        <xdr:cNvSpPr/>
      </xdr:nvSpPr>
      <xdr:spPr>
        <a:xfrm>
          <a:off x="13886329" y="1434353"/>
          <a:ext cx="2590799" cy="1174377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accent1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20</xdr:col>
      <xdr:colOff>277906</xdr:colOff>
      <xdr:row>0</xdr:row>
      <xdr:rowOff>106297</xdr:rowOff>
    </xdr:from>
    <xdr:to>
      <xdr:col>24</xdr:col>
      <xdr:colOff>519954</xdr:colOff>
      <xdr:row>7</xdr:row>
      <xdr:rowOff>19852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97220184-F307-E723-7AFB-5DE408190919}"/>
            </a:ext>
          </a:extLst>
        </xdr:cNvPr>
        <xdr:cNvSpPr/>
      </xdr:nvSpPr>
      <xdr:spPr>
        <a:xfrm>
          <a:off x="13819735" y="106297"/>
          <a:ext cx="2680448" cy="1208955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accent1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16</xdr:col>
      <xdr:colOff>1</xdr:colOff>
      <xdr:row>8</xdr:row>
      <xdr:rowOff>26894</xdr:rowOff>
    </xdr:from>
    <xdr:to>
      <xdr:col>20</xdr:col>
      <xdr:colOff>170329</xdr:colOff>
      <xdr:row>14</xdr:row>
      <xdr:rowOff>125506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EF658D67-636B-BB17-30F9-B5D544069CD5}"/>
            </a:ext>
          </a:extLst>
        </xdr:cNvPr>
        <xdr:cNvSpPr/>
      </xdr:nvSpPr>
      <xdr:spPr>
        <a:xfrm>
          <a:off x="11098307" y="1461247"/>
          <a:ext cx="2608728" cy="1174377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accent1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12</xdr:col>
      <xdr:colOff>215153</xdr:colOff>
      <xdr:row>1</xdr:row>
      <xdr:rowOff>53788</xdr:rowOff>
    </xdr:from>
    <xdr:to>
      <xdr:col>15</xdr:col>
      <xdr:colOff>224118</xdr:colOff>
      <xdr:row>3</xdr:row>
      <xdr:rowOff>26894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82BD87BC-8E7A-2539-396C-C92D324A34F7}"/>
            </a:ext>
          </a:extLst>
        </xdr:cNvPr>
        <xdr:cNvSpPr txBox="1"/>
      </xdr:nvSpPr>
      <xdr:spPr>
        <a:xfrm>
          <a:off x="8875059" y="233082"/>
          <a:ext cx="1837765" cy="3316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fontAlgn="t"/>
          <a:r>
            <a:rPr lang="en-IN" sz="18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Farmers</a:t>
          </a:r>
        </a:p>
      </xdr:txBody>
    </xdr:sp>
    <xdr:clientData/>
  </xdr:twoCellAnchor>
  <xdr:twoCellAnchor>
    <xdr:from>
      <xdr:col>16</xdr:col>
      <xdr:colOff>564777</xdr:colOff>
      <xdr:row>1</xdr:row>
      <xdr:rowOff>53788</xdr:rowOff>
    </xdr:from>
    <xdr:to>
      <xdr:col>20</xdr:col>
      <xdr:colOff>152400</xdr:colOff>
      <xdr:row>3</xdr:row>
      <xdr:rowOff>71718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17A7D6EE-7E55-43E2-A059-C3B382363957}"/>
            </a:ext>
          </a:extLst>
        </xdr:cNvPr>
        <xdr:cNvSpPr txBox="1"/>
      </xdr:nvSpPr>
      <xdr:spPr>
        <a:xfrm>
          <a:off x="11663083" y="233082"/>
          <a:ext cx="2026023" cy="3765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fontAlgn="t"/>
          <a:r>
            <a:rPr lang="en-IN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Farming Income</a:t>
          </a:r>
        </a:p>
        <a:p>
          <a:endParaRPr lang="en-IN" sz="1100"/>
        </a:p>
      </xdr:txBody>
    </xdr:sp>
    <xdr:clientData/>
  </xdr:twoCellAnchor>
  <xdr:twoCellAnchor>
    <xdr:from>
      <xdr:col>21</xdr:col>
      <xdr:colOff>403412</xdr:colOff>
      <xdr:row>1</xdr:row>
      <xdr:rowOff>35858</xdr:rowOff>
    </xdr:from>
    <xdr:to>
      <xdr:col>24</xdr:col>
      <xdr:colOff>412377</xdr:colOff>
      <xdr:row>3</xdr:row>
      <xdr:rowOff>26893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56BC9D59-E63A-D464-73A8-0F67EB3F8529}"/>
            </a:ext>
          </a:extLst>
        </xdr:cNvPr>
        <xdr:cNvSpPr txBox="1"/>
      </xdr:nvSpPr>
      <xdr:spPr>
        <a:xfrm>
          <a:off x="14549718" y="215152"/>
          <a:ext cx="1837765" cy="3496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t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Average Income</a:t>
          </a:r>
        </a:p>
      </xdr:txBody>
    </xdr:sp>
    <xdr:clientData/>
  </xdr:twoCellAnchor>
  <xdr:twoCellAnchor>
    <xdr:from>
      <xdr:col>21</xdr:col>
      <xdr:colOff>331694</xdr:colOff>
      <xdr:row>8</xdr:row>
      <xdr:rowOff>152400</xdr:rowOff>
    </xdr:from>
    <xdr:to>
      <xdr:col>24</xdr:col>
      <xdr:colOff>340659</xdr:colOff>
      <xdr:row>10</xdr:row>
      <xdr:rowOff>44824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6EC5BD8A-B2AE-8852-484C-06BB0EB0EFB1}"/>
            </a:ext>
          </a:extLst>
        </xdr:cNvPr>
        <xdr:cNvSpPr txBox="1"/>
      </xdr:nvSpPr>
      <xdr:spPr>
        <a:xfrm>
          <a:off x="14478000" y="1586753"/>
          <a:ext cx="1837765" cy="2510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fontAlgn="t"/>
          <a:r>
            <a:rPr lang="en-IN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Women Farmers</a:t>
          </a:r>
        </a:p>
      </xdr:txBody>
    </xdr:sp>
    <xdr:clientData/>
  </xdr:twoCellAnchor>
  <xdr:twoCellAnchor>
    <xdr:from>
      <xdr:col>16</xdr:col>
      <xdr:colOff>466165</xdr:colOff>
      <xdr:row>9</xdr:row>
      <xdr:rowOff>17930</xdr:rowOff>
    </xdr:from>
    <xdr:to>
      <xdr:col>20</xdr:col>
      <xdr:colOff>403412</xdr:colOff>
      <xdr:row>10</xdr:row>
      <xdr:rowOff>116542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C59C5A27-A06E-95B9-5070-580C46ED4277}"/>
            </a:ext>
          </a:extLst>
        </xdr:cNvPr>
        <xdr:cNvSpPr txBox="1"/>
      </xdr:nvSpPr>
      <xdr:spPr>
        <a:xfrm>
          <a:off x="11564471" y="1631577"/>
          <a:ext cx="2375647" cy="2779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fontAlgn="t"/>
          <a:r>
            <a:rPr lang="en-IN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Average Land Area (Acres)</a:t>
          </a:r>
        </a:p>
      </xdr:txBody>
    </xdr:sp>
    <xdr:clientData/>
  </xdr:twoCellAnchor>
  <xdr:twoCellAnchor>
    <xdr:from>
      <xdr:col>12</xdr:col>
      <xdr:colOff>107576</xdr:colOff>
      <xdr:row>8</xdr:row>
      <xdr:rowOff>179293</xdr:rowOff>
    </xdr:from>
    <xdr:to>
      <xdr:col>15</xdr:col>
      <xdr:colOff>537882</xdr:colOff>
      <xdr:row>10</xdr:row>
      <xdr:rowOff>116541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15459CDF-A7FE-2039-32D9-EA961401778E}"/>
            </a:ext>
          </a:extLst>
        </xdr:cNvPr>
        <xdr:cNvSpPr txBox="1"/>
      </xdr:nvSpPr>
      <xdr:spPr>
        <a:xfrm>
          <a:off x="8767482" y="1613646"/>
          <a:ext cx="2259106" cy="2958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fontAlgn="t"/>
          <a:r>
            <a:rPr lang="en-IN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Land Area (Acres)</a:t>
          </a:r>
        </a:p>
      </xdr:txBody>
    </xdr:sp>
    <xdr:clientData/>
  </xdr:twoCellAnchor>
  <xdr:twoCellAnchor editAs="oneCell">
    <xdr:from>
      <xdr:col>11</xdr:col>
      <xdr:colOff>268941</xdr:colOff>
      <xdr:row>1</xdr:row>
      <xdr:rowOff>152402</xdr:rowOff>
    </xdr:from>
    <xdr:to>
      <xdr:col>12</xdr:col>
      <xdr:colOff>286870</xdr:colOff>
      <xdr:row>5</xdr:row>
      <xdr:rowOff>62754</xdr:rowOff>
    </xdr:to>
    <xdr:pic>
      <xdr:nvPicPr>
        <xdr:cNvPr id="49" name="Graphic 48" descr="Male profile with solid fill">
          <a:extLst>
            <a:ext uri="{FF2B5EF4-FFF2-40B4-BE49-F238E27FC236}">
              <a16:creationId xmlns:a16="http://schemas.microsoft.com/office/drawing/2014/main" id="{C25C4B3B-6577-70D7-75B6-415CE1BC5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8319247" y="331696"/>
          <a:ext cx="627529" cy="627529"/>
        </a:xfrm>
        <a:prstGeom prst="rect">
          <a:avLst/>
        </a:prstGeom>
      </xdr:spPr>
    </xdr:pic>
    <xdr:clientData/>
  </xdr:twoCellAnchor>
  <xdr:twoCellAnchor editAs="oneCell">
    <xdr:from>
      <xdr:col>16</xdr:col>
      <xdr:colOff>107576</xdr:colOff>
      <xdr:row>1</xdr:row>
      <xdr:rowOff>152399</xdr:rowOff>
    </xdr:from>
    <xdr:to>
      <xdr:col>16</xdr:col>
      <xdr:colOff>591670</xdr:colOff>
      <xdr:row>4</xdr:row>
      <xdr:rowOff>98611</xdr:rowOff>
    </xdr:to>
    <xdr:pic>
      <xdr:nvPicPr>
        <xdr:cNvPr id="51" name="Graphic 50" descr="Rupee with solid fill">
          <a:extLst>
            <a:ext uri="{FF2B5EF4-FFF2-40B4-BE49-F238E27FC236}">
              <a16:creationId xmlns:a16="http://schemas.microsoft.com/office/drawing/2014/main" id="{EB954FAF-E50A-8BA9-8234-22C55AFF2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1205882" y="331693"/>
          <a:ext cx="484094" cy="484094"/>
        </a:xfrm>
        <a:prstGeom prst="rect">
          <a:avLst/>
        </a:prstGeom>
      </xdr:spPr>
    </xdr:pic>
    <xdr:clientData/>
  </xdr:twoCellAnchor>
  <xdr:twoCellAnchor editAs="oneCell">
    <xdr:from>
      <xdr:col>20</xdr:col>
      <xdr:colOff>376518</xdr:colOff>
      <xdr:row>1</xdr:row>
      <xdr:rowOff>71719</xdr:rowOff>
    </xdr:from>
    <xdr:to>
      <xdr:col>21</xdr:col>
      <xdr:colOff>322730</xdr:colOff>
      <xdr:row>4</xdr:row>
      <xdr:rowOff>89649</xdr:rowOff>
    </xdr:to>
    <xdr:pic>
      <xdr:nvPicPr>
        <xdr:cNvPr id="53" name="Graphic 52" descr="Scales of justice outline">
          <a:extLst>
            <a:ext uri="{FF2B5EF4-FFF2-40B4-BE49-F238E27FC236}">
              <a16:creationId xmlns:a16="http://schemas.microsoft.com/office/drawing/2014/main" id="{9AA383FA-5583-E145-16CE-D253D47EB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13913224" y="251013"/>
          <a:ext cx="555812" cy="555812"/>
        </a:xfrm>
        <a:prstGeom prst="rect">
          <a:avLst/>
        </a:prstGeom>
      </xdr:spPr>
    </xdr:pic>
    <xdr:clientData/>
  </xdr:twoCellAnchor>
  <xdr:twoCellAnchor editAs="oneCell">
    <xdr:from>
      <xdr:col>11</xdr:col>
      <xdr:colOff>251011</xdr:colOff>
      <xdr:row>9</xdr:row>
      <xdr:rowOff>62755</xdr:rowOff>
    </xdr:from>
    <xdr:to>
      <xdr:col>12</xdr:col>
      <xdr:colOff>179292</xdr:colOff>
      <xdr:row>12</xdr:row>
      <xdr:rowOff>62754</xdr:rowOff>
    </xdr:to>
    <xdr:pic>
      <xdr:nvPicPr>
        <xdr:cNvPr id="57" name="Graphic 56" descr="Farm scene with solid fill">
          <a:extLst>
            <a:ext uri="{FF2B5EF4-FFF2-40B4-BE49-F238E27FC236}">
              <a16:creationId xmlns:a16="http://schemas.microsoft.com/office/drawing/2014/main" id="{BFDC5A6F-9D4F-3EE4-EC6E-12449EDD2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8301317" y="1676402"/>
          <a:ext cx="537881" cy="537881"/>
        </a:xfrm>
        <a:prstGeom prst="rect">
          <a:avLst/>
        </a:prstGeom>
      </xdr:spPr>
    </xdr:pic>
    <xdr:clientData/>
  </xdr:twoCellAnchor>
  <xdr:twoCellAnchor editAs="oneCell">
    <xdr:from>
      <xdr:col>16</xdr:col>
      <xdr:colOff>40022</xdr:colOff>
      <xdr:row>9</xdr:row>
      <xdr:rowOff>87247</xdr:rowOff>
    </xdr:from>
    <xdr:to>
      <xdr:col>16</xdr:col>
      <xdr:colOff>535482</xdr:colOff>
      <xdr:row>12</xdr:row>
      <xdr:rowOff>44825</xdr:rowOff>
    </xdr:to>
    <xdr:pic>
      <xdr:nvPicPr>
        <xdr:cNvPr id="59" name="Graphic 58" descr="Crops with solid fill">
          <a:extLst>
            <a:ext uri="{FF2B5EF4-FFF2-40B4-BE49-F238E27FC236}">
              <a16:creationId xmlns:a16="http://schemas.microsoft.com/office/drawing/2014/main" id="{D1EB98B9-AD20-6614-1E71-9C59C6E82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11138328" y="1700894"/>
          <a:ext cx="495460" cy="495460"/>
        </a:xfrm>
        <a:prstGeom prst="rect">
          <a:avLst/>
        </a:prstGeom>
      </xdr:spPr>
    </xdr:pic>
    <xdr:clientData/>
  </xdr:twoCellAnchor>
  <xdr:twoCellAnchor editAs="oneCell">
    <xdr:from>
      <xdr:col>20</xdr:col>
      <xdr:colOff>385482</xdr:colOff>
      <xdr:row>9</xdr:row>
      <xdr:rowOff>8962</xdr:rowOff>
    </xdr:from>
    <xdr:to>
      <xdr:col>21</xdr:col>
      <xdr:colOff>340658</xdr:colOff>
      <xdr:row>12</xdr:row>
      <xdr:rowOff>35856</xdr:rowOff>
    </xdr:to>
    <xdr:pic>
      <xdr:nvPicPr>
        <xdr:cNvPr id="61" name="Graphic 60" descr="Female Profile with solid fill">
          <a:extLst>
            <a:ext uri="{FF2B5EF4-FFF2-40B4-BE49-F238E27FC236}">
              <a16:creationId xmlns:a16="http://schemas.microsoft.com/office/drawing/2014/main" id="{8B068C3C-8572-2328-8E43-126F55A82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13922188" y="1622609"/>
          <a:ext cx="564776" cy="564776"/>
        </a:xfrm>
        <a:prstGeom prst="rect">
          <a:avLst/>
        </a:prstGeom>
      </xdr:spPr>
    </xdr:pic>
    <xdr:clientData/>
  </xdr:twoCellAnchor>
  <xdr:twoCellAnchor>
    <xdr:from>
      <xdr:col>12</xdr:col>
      <xdr:colOff>528917</xdr:colOff>
      <xdr:row>2</xdr:row>
      <xdr:rowOff>179292</xdr:rowOff>
    </xdr:from>
    <xdr:to>
      <xdr:col>14</xdr:col>
      <xdr:colOff>35858</xdr:colOff>
      <xdr:row>5</xdr:row>
      <xdr:rowOff>125504</xdr:rowOff>
    </xdr:to>
    <xdr:sp macro="" textlink="insight!D12">
      <xdr:nvSpPr>
        <xdr:cNvPr id="2" name="TextBox 1">
          <a:extLst>
            <a:ext uri="{FF2B5EF4-FFF2-40B4-BE49-F238E27FC236}">
              <a16:creationId xmlns:a16="http://schemas.microsoft.com/office/drawing/2014/main" id="{1A7C39B7-619A-A323-8FC7-679040BBAC01}"/>
            </a:ext>
          </a:extLst>
        </xdr:cNvPr>
        <xdr:cNvSpPr txBox="1"/>
      </xdr:nvSpPr>
      <xdr:spPr>
        <a:xfrm>
          <a:off x="9188823" y="537880"/>
          <a:ext cx="726141" cy="484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fontAlgn="t"/>
          <a:fld id="{8579D019-F612-44E7-A86B-7956147F585C}" type="TxLink">
            <a:rPr lang="en-US" sz="2400" b="1" i="0" u="none" strike="noStrike">
              <a:solidFill>
                <a:schemeClr val="tx2">
                  <a:lumMod val="75000"/>
                </a:schemeClr>
              </a:solidFill>
              <a:effectLst/>
              <a:latin typeface="Calibri"/>
              <a:ea typeface="Calibri"/>
              <a:cs typeface="Calibri"/>
            </a:rPr>
            <a:pPr fontAlgn="t"/>
            <a:t>742</a:t>
          </a:fld>
          <a:endParaRPr lang="en-IN" sz="6600" b="1" i="0">
            <a:solidFill>
              <a:schemeClr val="tx2">
                <a:lumMod val="75000"/>
              </a:schemeClr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71718</xdr:colOff>
      <xdr:row>2</xdr:row>
      <xdr:rowOff>107577</xdr:rowOff>
    </xdr:from>
    <xdr:to>
      <xdr:col>19</xdr:col>
      <xdr:colOff>295835</xdr:colOff>
      <xdr:row>4</xdr:row>
      <xdr:rowOff>125507</xdr:rowOff>
    </xdr:to>
    <xdr:sp macro="" textlink="insight!G12">
      <xdr:nvSpPr>
        <xdr:cNvPr id="3" name="TextBox 2">
          <a:extLst>
            <a:ext uri="{FF2B5EF4-FFF2-40B4-BE49-F238E27FC236}">
              <a16:creationId xmlns:a16="http://schemas.microsoft.com/office/drawing/2014/main" id="{ED27226D-DC67-F2BE-26A8-4956CA491F48}"/>
            </a:ext>
          </a:extLst>
        </xdr:cNvPr>
        <xdr:cNvSpPr txBox="1"/>
      </xdr:nvSpPr>
      <xdr:spPr>
        <a:xfrm>
          <a:off x="11779624" y="466165"/>
          <a:ext cx="1443317" cy="3765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fontAlgn="t"/>
          <a:fld id="{979CF6FD-AA1D-4189-9117-C6CACCC46F04}" type="TxLink">
            <a:rPr lang="en-US" sz="2400" b="1" i="0" u="none" strike="noStrike">
              <a:solidFill>
                <a:schemeClr val="tx2">
                  <a:lumMod val="75000"/>
                </a:schemeClr>
              </a:solidFill>
              <a:effectLst/>
              <a:latin typeface="Calibri"/>
              <a:ea typeface="Calibri"/>
              <a:cs typeface="Calibri"/>
            </a:rPr>
            <a:pPr marL="0" indent="0" fontAlgn="t"/>
            <a:t>38743000</a:t>
          </a:fld>
          <a:endParaRPr lang="en-IN" sz="2400" b="1" i="0" u="none" strike="noStrike">
            <a:solidFill>
              <a:schemeClr val="tx2">
                <a:lumMod val="75000"/>
              </a:schemeClr>
            </a:solidFill>
            <a:effectLst/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22</xdr:col>
      <xdr:colOff>17931</xdr:colOff>
      <xdr:row>2</xdr:row>
      <xdr:rowOff>107575</xdr:rowOff>
    </xdr:from>
    <xdr:to>
      <xdr:col>24</xdr:col>
      <xdr:colOff>71719</xdr:colOff>
      <xdr:row>4</xdr:row>
      <xdr:rowOff>98610</xdr:rowOff>
    </xdr:to>
    <xdr:sp macro="" textlink="insight!C18">
      <xdr:nvSpPr>
        <xdr:cNvPr id="4" name="TextBox 3">
          <a:extLst>
            <a:ext uri="{FF2B5EF4-FFF2-40B4-BE49-F238E27FC236}">
              <a16:creationId xmlns:a16="http://schemas.microsoft.com/office/drawing/2014/main" id="{F9A0930E-D8C0-806C-8D11-9964293CBC0A}"/>
            </a:ext>
          </a:extLst>
        </xdr:cNvPr>
        <xdr:cNvSpPr txBox="1"/>
      </xdr:nvSpPr>
      <xdr:spPr>
        <a:xfrm>
          <a:off x="14773837" y="466163"/>
          <a:ext cx="1272988" cy="3496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t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1DD4DB34-0192-4BFE-A603-B5A2790710C1}" type="TxLink">
            <a:rPr lang="en-US" sz="2400" b="1" i="0" u="none" strike="noStrike">
              <a:solidFill>
                <a:schemeClr val="tx2">
                  <a:lumMod val="75000"/>
                </a:schemeClr>
              </a:solidFill>
              <a:effectLst/>
              <a:latin typeface="Calibri"/>
              <a:ea typeface="Calibri"/>
              <a:cs typeface="Calibri"/>
            </a:rPr>
            <a:pPr marL="0" marR="0" lvl="0" indent="0" defTabSz="914400" eaLnBrk="1" fontAlgn="t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52214</a:t>
          </a:fld>
          <a:endParaRPr lang="en-IN" sz="2400" b="1" i="0" u="none" strike="noStrike">
            <a:solidFill>
              <a:schemeClr val="tx2">
                <a:lumMod val="75000"/>
              </a:schemeClr>
            </a:solidFill>
            <a:effectLst/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22</xdr:col>
      <xdr:colOff>161365</xdr:colOff>
      <xdr:row>10</xdr:row>
      <xdr:rowOff>44823</xdr:rowOff>
    </xdr:from>
    <xdr:to>
      <xdr:col>23</xdr:col>
      <xdr:colOff>259977</xdr:colOff>
      <xdr:row>12</xdr:row>
      <xdr:rowOff>143435</xdr:rowOff>
    </xdr:to>
    <xdr:sp macro="" textlink="insight!L4">
      <xdr:nvSpPr>
        <xdr:cNvPr id="9" name="TextBox 8">
          <a:extLst>
            <a:ext uri="{FF2B5EF4-FFF2-40B4-BE49-F238E27FC236}">
              <a16:creationId xmlns:a16="http://schemas.microsoft.com/office/drawing/2014/main" id="{8194BE09-2008-94C9-2D6E-E04E14D6B526}"/>
            </a:ext>
          </a:extLst>
        </xdr:cNvPr>
        <xdr:cNvSpPr txBox="1"/>
      </xdr:nvSpPr>
      <xdr:spPr>
        <a:xfrm>
          <a:off x="14917271" y="1837764"/>
          <a:ext cx="708212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fontAlgn="t"/>
          <a:fld id="{39A99AC7-395F-4F14-9E40-C40AB1DCE71F}" type="TxLink">
            <a:rPr lang="en-US" sz="2400" b="1" i="0" u="none" strike="noStrike">
              <a:solidFill>
                <a:schemeClr val="tx2">
                  <a:lumMod val="75000"/>
                </a:schemeClr>
              </a:solidFill>
              <a:effectLst/>
              <a:latin typeface="Calibri"/>
              <a:ea typeface="Calibri"/>
              <a:cs typeface="Calibri"/>
            </a:rPr>
            <a:pPr marL="0" indent="0" fontAlgn="t"/>
            <a:t>97</a:t>
          </a:fld>
          <a:endParaRPr lang="en-IN" sz="2400" b="1" i="0" u="none" strike="noStrike">
            <a:solidFill>
              <a:schemeClr val="tx2">
                <a:lumMod val="75000"/>
              </a:schemeClr>
            </a:solidFill>
            <a:effectLst/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17</xdr:col>
      <xdr:colOff>215153</xdr:colOff>
      <xdr:row>10</xdr:row>
      <xdr:rowOff>80682</xdr:rowOff>
    </xdr:from>
    <xdr:to>
      <xdr:col>19</xdr:col>
      <xdr:colOff>286870</xdr:colOff>
      <xdr:row>12</xdr:row>
      <xdr:rowOff>143435</xdr:rowOff>
    </xdr:to>
    <xdr:sp macro="" textlink="insight!E18">
      <xdr:nvSpPr>
        <xdr:cNvPr id="11" name="TextBox 10">
          <a:extLst>
            <a:ext uri="{FF2B5EF4-FFF2-40B4-BE49-F238E27FC236}">
              <a16:creationId xmlns:a16="http://schemas.microsoft.com/office/drawing/2014/main" id="{99982E9F-9271-097B-AFE7-A79C0FFA3E39}"/>
            </a:ext>
          </a:extLst>
        </xdr:cNvPr>
        <xdr:cNvSpPr txBox="1"/>
      </xdr:nvSpPr>
      <xdr:spPr>
        <a:xfrm>
          <a:off x="11923059" y="1873623"/>
          <a:ext cx="1290917" cy="4213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fontAlgn="t"/>
          <a:fld id="{EE8982EA-004E-4246-A9E7-67E5F6C900D9}" type="TxLink">
            <a:rPr lang="en-US" sz="2400" b="1" i="0" u="none" strike="noStrike">
              <a:solidFill>
                <a:schemeClr val="tx2">
                  <a:lumMod val="75000"/>
                </a:schemeClr>
              </a:solidFill>
              <a:effectLst/>
              <a:latin typeface="Calibri"/>
              <a:ea typeface="Calibri"/>
              <a:cs typeface="Calibri"/>
            </a:rPr>
            <a:pPr marL="0" indent="0" fontAlgn="t"/>
            <a:t>127.73</a:t>
          </a:fld>
          <a:endParaRPr lang="en-IN" sz="2400" b="1" i="0" u="none" strike="noStrike">
            <a:solidFill>
              <a:schemeClr val="tx2">
                <a:lumMod val="75000"/>
              </a:schemeClr>
            </a:solidFill>
            <a:effectLst/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12</xdr:col>
      <xdr:colOff>107576</xdr:colOff>
      <xdr:row>9</xdr:row>
      <xdr:rowOff>8963</xdr:rowOff>
    </xdr:from>
    <xdr:to>
      <xdr:col>15</xdr:col>
      <xdr:colOff>537882</xdr:colOff>
      <xdr:row>10</xdr:row>
      <xdr:rowOff>125505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07993A9-60F7-0D5A-CC43-23E6AE37E29E}"/>
            </a:ext>
          </a:extLst>
        </xdr:cNvPr>
        <xdr:cNvSpPr txBox="1"/>
      </xdr:nvSpPr>
      <xdr:spPr>
        <a:xfrm>
          <a:off x="8767482" y="1622610"/>
          <a:ext cx="2259106" cy="2958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fontAlgn="t"/>
          <a:r>
            <a:rPr lang="en-IN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Land Area (Acres)</a:t>
          </a:r>
        </a:p>
      </xdr:txBody>
    </xdr:sp>
    <xdr:clientData/>
  </xdr:twoCellAnchor>
  <xdr:twoCellAnchor>
    <xdr:from>
      <xdr:col>12</xdr:col>
      <xdr:colOff>448235</xdr:colOff>
      <xdr:row>10</xdr:row>
      <xdr:rowOff>107574</xdr:rowOff>
    </xdr:from>
    <xdr:to>
      <xdr:col>14</xdr:col>
      <xdr:colOff>573741</xdr:colOff>
      <xdr:row>13</xdr:row>
      <xdr:rowOff>-1</xdr:rowOff>
    </xdr:to>
    <xdr:sp macro="" textlink="insight!H12">
      <xdr:nvSpPr>
        <xdr:cNvPr id="13" name="TextBox 12">
          <a:extLst>
            <a:ext uri="{FF2B5EF4-FFF2-40B4-BE49-F238E27FC236}">
              <a16:creationId xmlns:a16="http://schemas.microsoft.com/office/drawing/2014/main" id="{460CDDB7-DD93-5BDE-9434-58EADFBB09AF}"/>
            </a:ext>
          </a:extLst>
        </xdr:cNvPr>
        <xdr:cNvSpPr txBox="1"/>
      </xdr:nvSpPr>
      <xdr:spPr>
        <a:xfrm>
          <a:off x="9108141" y="1900515"/>
          <a:ext cx="1344706" cy="4303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fontAlgn="t"/>
          <a:fld id="{C60CB2F2-518D-4167-B5D4-21758556F240}" type="TxLink">
            <a:rPr lang="en-US" sz="2400" b="1" i="0" u="none" strike="noStrike">
              <a:solidFill>
                <a:schemeClr val="tx2">
                  <a:lumMod val="75000"/>
                </a:schemeClr>
              </a:solidFill>
              <a:effectLst/>
              <a:latin typeface="Calibri"/>
              <a:ea typeface="Calibri"/>
              <a:cs typeface="Calibri"/>
            </a:rPr>
            <a:pPr marL="0" indent="0" fontAlgn="t"/>
            <a:t>1021.84</a:t>
          </a:fld>
          <a:endParaRPr lang="en-IN" sz="2400" b="1" i="0" u="none" strike="noStrike">
            <a:solidFill>
              <a:schemeClr val="tx2">
                <a:lumMod val="75000"/>
              </a:schemeClr>
            </a:solidFill>
            <a:effectLst/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1237129</xdr:colOff>
      <xdr:row>6</xdr:row>
      <xdr:rowOff>67874</xdr:rowOff>
    </xdr:from>
    <xdr:to>
      <xdr:col>10</xdr:col>
      <xdr:colOff>493059</xdr:colOff>
      <xdr:row>22</xdr:row>
      <xdr:rowOff>130628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7036E6D4-FA72-BBA6-085A-E4708A0AD190}"/>
            </a:ext>
          </a:extLst>
        </xdr:cNvPr>
        <xdr:cNvGrpSpPr/>
      </xdr:nvGrpSpPr>
      <xdr:grpSpPr>
        <a:xfrm>
          <a:off x="2140643" y="1178217"/>
          <a:ext cx="5798245" cy="3023668"/>
          <a:chOff x="2160494" y="1143630"/>
          <a:chExt cx="4366260" cy="2543820"/>
        </a:xfrm>
      </xdr:grpSpPr>
      <xdr:graphicFrame macro="">
        <xdr:nvGraphicFramePr>
          <xdr:cNvPr id="26" name="Chart 25">
            <a:extLst>
              <a:ext uri="{FF2B5EF4-FFF2-40B4-BE49-F238E27FC236}">
                <a16:creationId xmlns:a16="http://schemas.microsoft.com/office/drawing/2014/main" id="{E03DC4E0-7034-462D-9A0B-6EF6040DD7D3}"/>
              </a:ext>
            </a:extLst>
          </xdr:cNvPr>
          <xdr:cNvGraphicFramePr>
            <a:graphicFrameLocks/>
          </xdr:cNvGraphicFramePr>
        </xdr:nvGraphicFramePr>
        <xdr:xfrm>
          <a:off x="2160494" y="1143630"/>
          <a:ext cx="4366260" cy="25438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4"/>
          </a:graphicData>
        </a:graphic>
      </xdr:graphicFrame>
      <xdr:sp macro="" textlink="insight!D12">
        <xdr:nvSpPr>
          <xdr:cNvPr id="30" name="TextBox 29">
            <a:extLst>
              <a:ext uri="{FF2B5EF4-FFF2-40B4-BE49-F238E27FC236}">
                <a16:creationId xmlns:a16="http://schemas.microsoft.com/office/drawing/2014/main" id="{827D49F9-7F92-467F-A1A2-F967A7446BA1}"/>
              </a:ext>
            </a:extLst>
          </xdr:cNvPr>
          <xdr:cNvSpPr txBox="1"/>
        </xdr:nvSpPr>
        <xdr:spPr>
          <a:xfrm>
            <a:off x="3196068" y="2398533"/>
            <a:ext cx="476083" cy="316511"/>
          </a:xfrm>
          <a:prstGeom prst="rect">
            <a:avLst/>
          </a:prstGeom>
          <a:noFill/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fld id="{91F424C2-9A81-43CE-95B4-02B9508C31E8}" type="TxLink">
              <a:rPr kumimoji="0" lang="en-US" sz="2000" b="1" i="0" u="none" strike="noStrike" kern="0" cap="none" spc="0" normalizeH="0" baseline="0" noProof="0" smtClean="0">
                <a:ln>
                  <a:noFill/>
                </a:ln>
                <a:solidFill>
                  <a:schemeClr val="tx2">
                    <a:lumMod val="75000"/>
                  </a:schemeClr>
                </a:solidFill>
                <a:effectLst/>
                <a:uLnTx/>
                <a:uFillTx/>
                <a:latin typeface="Calibri"/>
                <a:ea typeface="Calibri"/>
                <a:cs typeface="Calibri"/>
              </a:rPr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t>742</a:t>
            </a:fld>
            <a:endParaRPr kumimoji="0" lang="en-IN" sz="3600" b="1" i="0" u="none" strike="noStrike" kern="0" cap="none" spc="0" normalizeH="0" baseline="0" noProof="0">
              <a:ln>
                <a:noFill/>
              </a:ln>
              <a:solidFill>
                <a:schemeClr val="tx2">
                  <a:lumMod val="75000"/>
                </a:schemeClr>
              </a:solidFill>
              <a:effectLst/>
              <a:uLnTx/>
              <a:uFillTx/>
              <a:latin typeface="Calibri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3</xdr:col>
      <xdr:colOff>125506</xdr:colOff>
      <xdr:row>16</xdr:row>
      <xdr:rowOff>107577</xdr:rowOff>
    </xdr:from>
    <xdr:to>
      <xdr:col>4</xdr:col>
      <xdr:colOff>537882</xdr:colOff>
      <xdr:row>18</xdr:row>
      <xdr:rowOff>17930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4FC0BB3-3061-C494-9605-0A3250E657A3}"/>
            </a:ext>
          </a:extLst>
        </xdr:cNvPr>
        <xdr:cNvSpPr txBox="1"/>
      </xdr:nvSpPr>
      <xdr:spPr>
        <a:xfrm>
          <a:off x="3299012" y="2976283"/>
          <a:ext cx="1021976" cy="2689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chemeClr val="tx2">
                  <a:lumMod val="75000"/>
                </a:schemeClr>
              </a:solidFill>
            </a:rPr>
            <a:t>Total</a:t>
          </a:r>
          <a:r>
            <a:rPr lang="en-IN" sz="1100" b="1" baseline="0">
              <a:solidFill>
                <a:schemeClr val="tx2">
                  <a:lumMod val="75000"/>
                </a:schemeClr>
              </a:solidFill>
            </a:rPr>
            <a:t> Farmers</a:t>
          </a:r>
          <a:endParaRPr lang="en-IN" sz="1100" b="1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17</xdr:col>
      <xdr:colOff>217714</xdr:colOff>
      <xdr:row>16</xdr:row>
      <xdr:rowOff>4484</xdr:rowOff>
    </xdr:from>
    <xdr:to>
      <xdr:col>24</xdr:col>
      <xdr:colOff>498823</xdr:colOff>
      <xdr:row>37</xdr:row>
      <xdr:rowOff>21772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25100F5B-450E-44DE-9A44-47B3F751F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11</xdr:col>
      <xdr:colOff>71718</xdr:colOff>
      <xdr:row>16</xdr:row>
      <xdr:rowOff>13450</xdr:rowOff>
    </xdr:from>
    <xdr:to>
      <xdr:col>17</xdr:col>
      <xdr:colOff>76200</xdr:colOff>
      <xdr:row>37</xdr:row>
      <xdr:rowOff>10885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2A85F349-4D59-47EB-BBBC-FD3719003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</xdr:col>
      <xdr:colOff>1251856</xdr:colOff>
      <xdr:row>23</xdr:row>
      <xdr:rowOff>21767</xdr:rowOff>
    </xdr:from>
    <xdr:to>
      <xdr:col>10</xdr:col>
      <xdr:colOff>544283</xdr:colOff>
      <xdr:row>37</xdr:row>
      <xdr:rowOff>21767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5BAA61B4-1B9E-4328-8FBD-37E148F5CE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0</xdr:col>
      <xdr:colOff>468090</xdr:colOff>
      <xdr:row>30</xdr:row>
      <xdr:rowOff>76192</xdr:rowOff>
    </xdr:from>
    <xdr:to>
      <xdr:col>1</xdr:col>
      <xdr:colOff>478976</xdr:colOff>
      <xdr:row>35</xdr:row>
      <xdr:rowOff>65306</xdr:rowOff>
    </xdr:to>
    <xdr:pic>
      <xdr:nvPicPr>
        <xdr:cNvPr id="21" name="Graphic 20" descr="Eye with solid fill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2BF083C8-C3B7-86A1-8E8B-C81AF05A9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468090" y="5627906"/>
          <a:ext cx="914400" cy="914400"/>
        </a:xfrm>
        <a:prstGeom prst="rect">
          <a:avLst/>
        </a:prstGeom>
      </xdr:spPr>
    </xdr:pic>
    <xdr:clientData/>
  </xdr:twoCellAnchor>
  <xdr:twoCellAnchor>
    <xdr:from>
      <xdr:col>0</xdr:col>
      <xdr:colOff>481532</xdr:colOff>
      <xdr:row>34</xdr:row>
      <xdr:rowOff>62113</xdr:rowOff>
    </xdr:from>
    <xdr:to>
      <xdr:col>1</xdr:col>
      <xdr:colOff>1037343</xdr:colOff>
      <xdr:row>36</xdr:row>
      <xdr:rowOff>53148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8D86A059-ED39-69F5-4776-4CF41A117A05}"/>
            </a:ext>
          </a:extLst>
        </xdr:cNvPr>
        <xdr:cNvSpPr txBox="1"/>
      </xdr:nvSpPr>
      <xdr:spPr>
        <a:xfrm>
          <a:off x="481532" y="6354056"/>
          <a:ext cx="1459325" cy="3611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Insight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0.14894</cdr:x>
      <cdr:y>0.47083</cdr:y>
    </cdr:from>
    <cdr:to>
      <cdr:x>0.24823</cdr:x>
      <cdr:y>0.6125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ACFF4A3-85AF-B17C-B5F9-DB4C83D02EBE}"/>
            </a:ext>
          </a:extLst>
        </cdr:cNvPr>
        <cdr:cNvSpPr txBox="1"/>
      </cdr:nvSpPr>
      <cdr:spPr>
        <a:xfrm xmlns:a="http://schemas.openxmlformats.org/drawingml/2006/main">
          <a:off x="800100" y="1291590"/>
          <a:ext cx="533400" cy="3886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0.13475</cdr:x>
      <cdr:y>0.43194</cdr:y>
    </cdr:from>
    <cdr:to>
      <cdr:x>0.24113</cdr:x>
      <cdr:y>0.60972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10744252-D196-AD7C-8006-30B856E0D7FE}"/>
            </a:ext>
          </a:extLst>
        </cdr:cNvPr>
        <cdr:cNvSpPr txBox="1"/>
      </cdr:nvSpPr>
      <cdr:spPr>
        <a:xfrm xmlns:a="http://schemas.openxmlformats.org/drawingml/2006/main">
          <a:off x="723900" y="1184910"/>
          <a:ext cx="571500" cy="4876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0.20893</cdr:x>
      <cdr:y>0.07742</cdr:y>
    </cdr:from>
    <cdr:to>
      <cdr:x>0.74458</cdr:x>
      <cdr:y>0.17097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88CEE12-48D2-E1DA-2275-4DC368AD39BD}"/>
            </a:ext>
          </a:extLst>
        </cdr:cNvPr>
        <cdr:cNvSpPr txBox="1"/>
      </cdr:nvSpPr>
      <cdr:spPr>
        <a:xfrm xmlns:a="http://schemas.openxmlformats.org/drawingml/2006/main">
          <a:off x="1510554" y="215153"/>
          <a:ext cx="3872753" cy="2599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0.18413</cdr:x>
      <cdr:y>0.05161</cdr:y>
    </cdr:from>
    <cdr:to>
      <cdr:x>0.67762</cdr:x>
      <cdr:y>0.12903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1A5300E2-967C-EF22-86BE-88847718C3BC}"/>
            </a:ext>
          </a:extLst>
        </cdr:cNvPr>
        <cdr:cNvSpPr txBox="1"/>
      </cdr:nvSpPr>
      <cdr:spPr>
        <a:xfrm xmlns:a="http://schemas.openxmlformats.org/drawingml/2006/main">
          <a:off x="1331259" y="143435"/>
          <a:ext cx="3567953" cy="215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0.10229</cdr:x>
      <cdr:y>0.04988</cdr:y>
    </cdr:from>
    <cdr:to>
      <cdr:x>0.62058</cdr:x>
      <cdr:y>0.13466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45F9282D-E53B-AA6B-41EF-8764527EA6FC}"/>
            </a:ext>
          </a:extLst>
        </cdr:cNvPr>
        <cdr:cNvSpPr txBox="1"/>
      </cdr:nvSpPr>
      <cdr:spPr>
        <a:xfrm xmlns:a="http://schemas.openxmlformats.org/drawingml/2006/main">
          <a:off x="739589" y="179295"/>
          <a:ext cx="3747247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0.09237</cdr:x>
      <cdr:y>0.06733</cdr:y>
    </cdr:from>
    <cdr:to>
      <cdr:x>0.74582</cdr:x>
      <cdr:y>0.1197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96E16612-F1FF-77D7-CEE1-41719DA4D739}"/>
            </a:ext>
          </a:extLst>
        </cdr:cNvPr>
        <cdr:cNvSpPr txBox="1"/>
      </cdr:nvSpPr>
      <cdr:spPr>
        <a:xfrm xmlns:a="http://schemas.openxmlformats.org/drawingml/2006/main">
          <a:off x="667871" y="242048"/>
          <a:ext cx="4724400" cy="1882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0.03469</cdr:x>
      <cdr:y>0</cdr:y>
    </cdr:from>
    <cdr:to>
      <cdr:x>0.83769</cdr:x>
      <cdr:y>0.13718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ED68382D-FD27-12E7-1C5F-E13363B83544}"/>
            </a:ext>
          </a:extLst>
        </cdr:cNvPr>
        <cdr:cNvSpPr txBox="1"/>
      </cdr:nvSpPr>
      <cdr:spPr>
        <a:xfrm xmlns:a="http://schemas.openxmlformats.org/drawingml/2006/main">
          <a:off x="202416" y="0"/>
          <a:ext cx="4685271" cy="3553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800" b="1" i="0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Land Holding vs Farming Income by Farmer </a:t>
          </a:r>
          <a:r>
            <a:rPr lang="en-IN" sz="1600" b="1" i="0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Category</a:t>
          </a:r>
          <a:endParaRPr lang="en-IN" sz="1800" b="1" i="0">
            <a:solidFill>
              <a:schemeClr val="tx2">
                <a:lumMod val="75000"/>
              </a:schemeClr>
            </a:solidFill>
            <a:effectLst/>
            <a:latin typeface="+mn-lt"/>
            <a:ea typeface="+mn-ea"/>
            <a:cs typeface="+mn-cs"/>
          </a:endParaRPr>
        </a:p>
        <a:p xmlns:a="http://schemas.openxmlformats.org/drawingml/2006/main">
          <a:endParaRPr lang="en-IN" sz="1800" b="1" kern="1200">
            <a:solidFill>
              <a:schemeClr val="tx2">
                <a:lumMod val="75000"/>
              </a:schemeClr>
            </a:solidFill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0</xdr:col>
      <xdr:colOff>1635369</xdr:colOff>
      <xdr:row>32</xdr:row>
      <xdr:rowOff>89647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5A366D4-5A05-4F8D-952E-5F2E51801B6B}"/>
            </a:ext>
          </a:extLst>
        </xdr:cNvPr>
        <xdr:cNvSpPr/>
      </xdr:nvSpPr>
      <xdr:spPr>
        <a:xfrm>
          <a:off x="1" y="0"/>
          <a:ext cx="1635368" cy="5827059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146538</xdr:colOff>
      <xdr:row>1</xdr:row>
      <xdr:rowOff>69303</xdr:rowOff>
    </xdr:from>
    <xdr:to>
      <xdr:col>0</xdr:col>
      <xdr:colOff>1570891</xdr:colOff>
      <xdr:row>5</xdr:row>
      <xdr:rowOff>5862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7041FDD-1622-4D1B-BAEC-DE769D101982}"/>
            </a:ext>
          </a:extLst>
        </xdr:cNvPr>
        <xdr:cNvSpPr txBox="1"/>
      </xdr:nvSpPr>
      <xdr:spPr>
        <a:xfrm>
          <a:off x="146538" y="251011"/>
          <a:ext cx="1424353" cy="6633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bg1"/>
              </a:solidFill>
              <a:latin typeface="+mn-lt"/>
              <a:ea typeface="+mn-ea"/>
              <a:cs typeface="+mn-cs"/>
            </a:rPr>
            <a:t>Farmer Servey Dashboard</a:t>
          </a:r>
        </a:p>
      </xdr:txBody>
    </xdr:sp>
    <xdr:clientData/>
  </xdr:twoCellAnchor>
  <xdr:twoCellAnchor editAs="oneCell">
    <xdr:from>
      <xdr:col>0</xdr:col>
      <xdr:colOff>188257</xdr:colOff>
      <xdr:row>0</xdr:row>
      <xdr:rowOff>80685</xdr:rowOff>
    </xdr:from>
    <xdr:to>
      <xdr:col>0</xdr:col>
      <xdr:colOff>600633</xdr:colOff>
      <xdr:row>2</xdr:row>
      <xdr:rowOff>10760</xdr:rowOff>
    </xdr:to>
    <xdr:pic>
      <xdr:nvPicPr>
        <xdr:cNvPr id="8" name="Graphic 7" descr="Leaf with solid fill">
          <a:extLst>
            <a:ext uri="{FF2B5EF4-FFF2-40B4-BE49-F238E27FC236}">
              <a16:creationId xmlns:a16="http://schemas.microsoft.com/office/drawing/2014/main" id="{A78553E9-4712-43BF-A3E4-4DB4F5D6D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8257" y="80685"/>
          <a:ext cx="412376" cy="288663"/>
        </a:xfrm>
        <a:prstGeom prst="rect">
          <a:avLst/>
        </a:prstGeom>
      </xdr:spPr>
    </xdr:pic>
    <xdr:clientData/>
  </xdr:twoCellAnchor>
  <xdr:twoCellAnchor>
    <xdr:from>
      <xdr:col>0</xdr:col>
      <xdr:colOff>1</xdr:colOff>
      <xdr:row>0</xdr:row>
      <xdr:rowOff>0</xdr:rowOff>
    </xdr:from>
    <xdr:to>
      <xdr:col>0</xdr:col>
      <xdr:colOff>2079812</xdr:colOff>
      <xdr:row>46</xdr:row>
      <xdr:rowOff>62753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2E9E00E-A3D0-49B4-BAA9-474301FAB7D7}"/>
            </a:ext>
          </a:extLst>
        </xdr:cNvPr>
        <xdr:cNvSpPr/>
      </xdr:nvSpPr>
      <xdr:spPr>
        <a:xfrm>
          <a:off x="1" y="0"/>
          <a:ext cx="2079811" cy="8310282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242048</xdr:colOff>
      <xdr:row>1</xdr:row>
      <xdr:rowOff>71717</xdr:rowOff>
    </xdr:from>
    <xdr:to>
      <xdr:col>1</xdr:col>
      <xdr:colOff>143436</xdr:colOff>
      <xdr:row>6</xdr:row>
      <xdr:rowOff>80681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81F8BBA-912F-4D4E-BBF6-7C4430721EF5}"/>
            </a:ext>
          </a:extLst>
        </xdr:cNvPr>
        <xdr:cNvSpPr txBox="1"/>
      </xdr:nvSpPr>
      <xdr:spPr>
        <a:xfrm>
          <a:off x="242048" y="251011"/>
          <a:ext cx="1658470" cy="9054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bg1"/>
              </a:solidFill>
              <a:latin typeface="+mn-lt"/>
              <a:ea typeface="+mn-ea"/>
              <a:cs typeface="+mn-cs"/>
            </a:rPr>
            <a:t>Farmer Servey Dashboard</a:t>
          </a:r>
        </a:p>
      </xdr:txBody>
    </xdr:sp>
    <xdr:clientData/>
  </xdr:twoCellAnchor>
  <xdr:twoCellAnchor editAs="oneCell">
    <xdr:from>
      <xdr:col>0</xdr:col>
      <xdr:colOff>286872</xdr:colOff>
      <xdr:row>0</xdr:row>
      <xdr:rowOff>60961</xdr:rowOff>
    </xdr:from>
    <xdr:to>
      <xdr:col>0</xdr:col>
      <xdr:colOff>699248</xdr:colOff>
      <xdr:row>1</xdr:row>
      <xdr:rowOff>170330</xdr:rowOff>
    </xdr:to>
    <xdr:pic>
      <xdr:nvPicPr>
        <xdr:cNvPr id="46" name="Graphic 45" descr="Leaf with solid fill">
          <a:extLst>
            <a:ext uri="{FF2B5EF4-FFF2-40B4-BE49-F238E27FC236}">
              <a16:creationId xmlns:a16="http://schemas.microsoft.com/office/drawing/2014/main" id="{A26847AD-D83D-4E84-AF53-CAA4A42EA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6872" y="60961"/>
          <a:ext cx="412376" cy="288663"/>
        </a:xfrm>
        <a:prstGeom prst="rect">
          <a:avLst/>
        </a:prstGeom>
      </xdr:spPr>
    </xdr:pic>
    <xdr:clientData/>
  </xdr:twoCellAnchor>
  <xdr:twoCellAnchor editAs="oneCell">
    <xdr:from>
      <xdr:col>0</xdr:col>
      <xdr:colOff>502026</xdr:colOff>
      <xdr:row>5</xdr:row>
      <xdr:rowOff>107576</xdr:rowOff>
    </xdr:from>
    <xdr:to>
      <xdr:col>0</xdr:col>
      <xdr:colOff>1290918</xdr:colOff>
      <xdr:row>9</xdr:row>
      <xdr:rowOff>179292</xdr:rowOff>
    </xdr:to>
    <xdr:pic>
      <xdr:nvPicPr>
        <xdr:cNvPr id="47" name="Graphic 46" descr="Bar chart outlin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270FE08-DFBF-4EEE-A1AF-AF0E44385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02026" y="1004047"/>
          <a:ext cx="788892" cy="788892"/>
        </a:xfrm>
        <a:prstGeom prst="rect">
          <a:avLst/>
        </a:prstGeom>
      </xdr:spPr>
    </xdr:pic>
    <xdr:clientData/>
  </xdr:twoCellAnchor>
  <xdr:twoCellAnchor editAs="oneCell">
    <xdr:from>
      <xdr:col>0</xdr:col>
      <xdr:colOff>430306</xdr:colOff>
      <xdr:row>11</xdr:row>
      <xdr:rowOff>170328</xdr:rowOff>
    </xdr:from>
    <xdr:to>
      <xdr:col>0</xdr:col>
      <xdr:colOff>1344706</xdr:colOff>
      <xdr:row>17</xdr:row>
      <xdr:rowOff>8963</xdr:rowOff>
    </xdr:to>
    <xdr:pic>
      <xdr:nvPicPr>
        <xdr:cNvPr id="48" name="Graphic 47" descr="Database outline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8D70D19-B21D-4EDB-9C1E-00DB11120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30306" y="2142563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475131</xdr:colOff>
      <xdr:row>19</xdr:row>
      <xdr:rowOff>80680</xdr:rowOff>
    </xdr:from>
    <xdr:to>
      <xdr:col>0</xdr:col>
      <xdr:colOff>1389531</xdr:colOff>
      <xdr:row>25</xdr:row>
      <xdr:rowOff>44821</xdr:rowOff>
    </xdr:to>
    <xdr:pic>
      <xdr:nvPicPr>
        <xdr:cNvPr id="49" name="Graphic 48" descr="Books with solid fill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8545969-FD91-42E6-8238-2788F13FC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475131" y="3487268"/>
          <a:ext cx="914400" cy="1039906"/>
        </a:xfrm>
        <a:prstGeom prst="rect">
          <a:avLst/>
        </a:prstGeom>
      </xdr:spPr>
    </xdr:pic>
    <xdr:clientData/>
  </xdr:twoCellAnchor>
  <xdr:twoCellAnchor>
    <xdr:from>
      <xdr:col>0</xdr:col>
      <xdr:colOff>233083</xdr:colOff>
      <xdr:row>9</xdr:row>
      <xdr:rowOff>17929</xdr:rowOff>
    </xdr:from>
    <xdr:to>
      <xdr:col>0</xdr:col>
      <xdr:colOff>1685365</xdr:colOff>
      <xdr:row>11</xdr:row>
      <xdr:rowOff>8964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1997790-6DA3-4F75-9DFC-86BB2024257B}"/>
            </a:ext>
          </a:extLst>
        </xdr:cNvPr>
        <xdr:cNvSpPr txBox="1"/>
      </xdr:nvSpPr>
      <xdr:spPr>
        <a:xfrm>
          <a:off x="233083" y="1631576"/>
          <a:ext cx="1452282" cy="3496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Dashboard`</a:t>
          </a:r>
        </a:p>
      </xdr:txBody>
    </xdr:sp>
    <xdr:clientData/>
  </xdr:twoCellAnchor>
  <xdr:twoCellAnchor>
    <xdr:from>
      <xdr:col>0</xdr:col>
      <xdr:colOff>385483</xdr:colOff>
      <xdr:row>16</xdr:row>
      <xdr:rowOff>8967</xdr:rowOff>
    </xdr:from>
    <xdr:to>
      <xdr:col>0</xdr:col>
      <xdr:colOff>1658472</xdr:colOff>
      <xdr:row>18</xdr:row>
      <xdr:rowOff>2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2558703C-ED19-4847-9CF4-C004FF56E3DD}"/>
            </a:ext>
          </a:extLst>
        </xdr:cNvPr>
        <xdr:cNvSpPr txBox="1"/>
      </xdr:nvSpPr>
      <xdr:spPr>
        <a:xfrm>
          <a:off x="385483" y="2877673"/>
          <a:ext cx="1272989" cy="3496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Dataset</a:t>
          </a:r>
        </a:p>
      </xdr:txBody>
    </xdr:sp>
    <xdr:clientData/>
  </xdr:twoCellAnchor>
  <xdr:twoCellAnchor>
    <xdr:from>
      <xdr:col>0</xdr:col>
      <xdr:colOff>242047</xdr:colOff>
      <xdr:row>24</xdr:row>
      <xdr:rowOff>134464</xdr:rowOff>
    </xdr:from>
    <xdr:to>
      <xdr:col>0</xdr:col>
      <xdr:colOff>1694329</xdr:colOff>
      <xdr:row>26</xdr:row>
      <xdr:rowOff>125499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8EFB5EF9-BBC4-488C-90BC-A53947BB84DA}"/>
            </a:ext>
          </a:extLst>
        </xdr:cNvPr>
        <xdr:cNvSpPr txBox="1"/>
      </xdr:nvSpPr>
      <xdr:spPr>
        <a:xfrm>
          <a:off x="242047" y="4437523"/>
          <a:ext cx="1452282" cy="3496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Data</a:t>
          </a:r>
          <a:r>
            <a:rPr lang="en-IN" sz="2000" b="1" baseline="0">
              <a:solidFill>
                <a:schemeClr val="bg1"/>
              </a:solidFill>
            </a:rPr>
            <a:t> Notes</a:t>
          </a:r>
          <a:endParaRPr lang="en-IN" sz="20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457199</xdr:colOff>
      <xdr:row>25</xdr:row>
      <xdr:rowOff>170331</xdr:rowOff>
    </xdr:from>
    <xdr:to>
      <xdr:col>0</xdr:col>
      <xdr:colOff>1371599</xdr:colOff>
      <xdr:row>31</xdr:row>
      <xdr:rowOff>8966</xdr:rowOff>
    </xdr:to>
    <xdr:pic>
      <xdr:nvPicPr>
        <xdr:cNvPr id="4" name="Graphic 3" descr="Eye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A8B9A2A-6F6E-4C90-B2FA-21C67BF79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57199" y="4652684"/>
          <a:ext cx="914400" cy="914400"/>
        </a:xfrm>
        <a:prstGeom prst="rect">
          <a:avLst/>
        </a:prstGeom>
      </xdr:spPr>
    </xdr:pic>
    <xdr:clientData/>
  </xdr:twoCellAnchor>
  <xdr:twoCellAnchor>
    <xdr:from>
      <xdr:col>0</xdr:col>
      <xdr:colOff>470641</xdr:colOff>
      <xdr:row>30</xdr:row>
      <xdr:rowOff>44831</xdr:rowOff>
    </xdr:from>
    <xdr:to>
      <xdr:col>0</xdr:col>
      <xdr:colOff>1929966</xdr:colOff>
      <xdr:row>32</xdr:row>
      <xdr:rowOff>47392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895F118-9051-4551-978E-A0A1A79EF835}"/>
            </a:ext>
          </a:extLst>
        </xdr:cNvPr>
        <xdr:cNvSpPr txBox="1"/>
      </xdr:nvSpPr>
      <xdr:spPr>
        <a:xfrm>
          <a:off x="470641" y="5423655"/>
          <a:ext cx="1459325" cy="3611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Insight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1661160</xdr:colOff>
      <xdr:row>28</xdr:row>
      <xdr:rowOff>119679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F5B9AA-0D95-4F6F-B3CB-D47BED6818F9}"/>
            </a:ext>
          </a:extLst>
        </xdr:cNvPr>
        <xdr:cNvSpPr/>
      </xdr:nvSpPr>
      <xdr:spPr>
        <a:xfrm>
          <a:off x="0" y="0"/>
          <a:ext cx="1661160" cy="6520479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121921</xdr:colOff>
      <xdr:row>1</xdr:row>
      <xdr:rowOff>212911</xdr:rowOff>
    </xdr:from>
    <xdr:to>
      <xdr:col>0</xdr:col>
      <xdr:colOff>1592581</xdr:colOff>
      <xdr:row>4</xdr:row>
      <xdr:rowOff>7620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824D36-393E-4B03-9473-51AFFA212D4E}"/>
            </a:ext>
          </a:extLst>
        </xdr:cNvPr>
        <xdr:cNvSpPr txBox="1"/>
      </xdr:nvSpPr>
      <xdr:spPr>
        <a:xfrm>
          <a:off x="121921" y="395791"/>
          <a:ext cx="1470660" cy="8919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bg1"/>
              </a:solidFill>
              <a:latin typeface="+mn-lt"/>
              <a:ea typeface="+mn-ea"/>
              <a:cs typeface="+mn-cs"/>
            </a:rPr>
            <a:t>Farmer Servey Dashboard</a:t>
          </a:r>
        </a:p>
      </xdr:txBody>
    </xdr:sp>
    <xdr:clientData/>
  </xdr:twoCellAnchor>
  <xdr:twoCellAnchor editAs="oneCell">
    <xdr:from>
      <xdr:col>0</xdr:col>
      <xdr:colOff>157331</xdr:colOff>
      <xdr:row>1</xdr:row>
      <xdr:rowOff>22861</xdr:rowOff>
    </xdr:from>
    <xdr:to>
      <xdr:col>0</xdr:col>
      <xdr:colOff>569707</xdr:colOff>
      <xdr:row>1</xdr:row>
      <xdr:rowOff>311524</xdr:rowOff>
    </xdr:to>
    <xdr:pic>
      <xdr:nvPicPr>
        <xdr:cNvPr id="4" name="Graphic 3" descr="Leaf with solid fill">
          <a:extLst>
            <a:ext uri="{FF2B5EF4-FFF2-40B4-BE49-F238E27FC236}">
              <a16:creationId xmlns:a16="http://schemas.microsoft.com/office/drawing/2014/main" id="{250F8D29-C16A-4C95-91E7-E907A9D45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7331" y="205741"/>
          <a:ext cx="412376" cy="288663"/>
        </a:xfrm>
        <a:prstGeom prst="rect">
          <a:avLst/>
        </a:prstGeom>
      </xdr:spPr>
    </xdr:pic>
    <xdr:clientData/>
  </xdr:twoCellAnchor>
  <xdr:twoCellAnchor>
    <xdr:from>
      <xdr:col>0</xdr:col>
      <xdr:colOff>22861</xdr:colOff>
      <xdr:row>0</xdr:row>
      <xdr:rowOff>0</xdr:rowOff>
    </xdr:from>
    <xdr:to>
      <xdr:col>0</xdr:col>
      <xdr:colOff>1584961</xdr:colOff>
      <xdr:row>25</xdr:row>
      <xdr:rowOff>127299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135F858-CDEF-40E8-97BC-C2D167F145AD}"/>
            </a:ext>
          </a:extLst>
        </xdr:cNvPr>
        <xdr:cNvSpPr/>
      </xdr:nvSpPr>
      <xdr:spPr>
        <a:xfrm>
          <a:off x="22861" y="0"/>
          <a:ext cx="1562100" cy="5979459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82027</xdr:colOff>
      <xdr:row>1</xdr:row>
      <xdr:rowOff>68131</xdr:rowOff>
    </xdr:from>
    <xdr:to>
      <xdr:col>0</xdr:col>
      <xdr:colOff>1562100</xdr:colOff>
      <xdr:row>3</xdr:row>
      <xdr:rowOff>76200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95326B7-6910-4FA5-8498-1D18A58A38AB}"/>
            </a:ext>
          </a:extLst>
        </xdr:cNvPr>
        <xdr:cNvSpPr txBox="1"/>
      </xdr:nvSpPr>
      <xdr:spPr>
        <a:xfrm>
          <a:off x="82027" y="251011"/>
          <a:ext cx="1480073" cy="7395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bg1"/>
              </a:solidFill>
              <a:latin typeface="+mn-lt"/>
              <a:ea typeface="+mn-ea"/>
              <a:cs typeface="+mn-cs"/>
            </a:rPr>
            <a:t>Farmer Servey Dashboard</a:t>
          </a:r>
        </a:p>
      </xdr:txBody>
    </xdr:sp>
    <xdr:clientData/>
  </xdr:twoCellAnchor>
  <xdr:twoCellAnchor editAs="oneCell">
    <xdr:from>
      <xdr:col>0</xdr:col>
      <xdr:colOff>103991</xdr:colOff>
      <xdr:row>0</xdr:row>
      <xdr:rowOff>60961</xdr:rowOff>
    </xdr:from>
    <xdr:to>
      <xdr:col>0</xdr:col>
      <xdr:colOff>516367</xdr:colOff>
      <xdr:row>1</xdr:row>
      <xdr:rowOff>166744</xdr:rowOff>
    </xdr:to>
    <xdr:pic>
      <xdr:nvPicPr>
        <xdr:cNvPr id="7" name="Graphic 6" descr="Leaf with solid fill">
          <a:extLst>
            <a:ext uri="{FF2B5EF4-FFF2-40B4-BE49-F238E27FC236}">
              <a16:creationId xmlns:a16="http://schemas.microsoft.com/office/drawing/2014/main" id="{2D26293B-F452-4A82-A86F-C39EBCBE6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3991" y="60961"/>
          <a:ext cx="412376" cy="288663"/>
        </a:xfrm>
        <a:prstGeom prst="rect">
          <a:avLst/>
        </a:prstGeom>
      </xdr:spPr>
    </xdr:pic>
    <xdr:clientData/>
  </xdr:twoCellAnchor>
  <xdr:twoCellAnchor editAs="oneCell">
    <xdr:from>
      <xdr:col>0</xdr:col>
      <xdr:colOff>404757</xdr:colOff>
      <xdr:row>3</xdr:row>
      <xdr:rowOff>141642</xdr:rowOff>
    </xdr:from>
    <xdr:to>
      <xdr:col>0</xdr:col>
      <xdr:colOff>1188720</xdr:colOff>
      <xdr:row>5</xdr:row>
      <xdr:rowOff>194085</xdr:rowOff>
    </xdr:to>
    <xdr:pic>
      <xdr:nvPicPr>
        <xdr:cNvPr id="8" name="Graphic 7" descr="Bar chart outlin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8E8F726-C4F2-4B04-8C36-A07FE1A16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404757" y="1056042"/>
          <a:ext cx="783963" cy="783963"/>
        </a:xfrm>
        <a:prstGeom prst="rect">
          <a:avLst/>
        </a:prstGeom>
      </xdr:spPr>
    </xdr:pic>
    <xdr:clientData/>
  </xdr:twoCellAnchor>
  <xdr:twoCellAnchor editAs="oneCell">
    <xdr:from>
      <xdr:col>0</xdr:col>
      <xdr:colOff>384585</xdr:colOff>
      <xdr:row>6</xdr:row>
      <xdr:rowOff>348279</xdr:rowOff>
    </xdr:from>
    <xdr:to>
      <xdr:col>0</xdr:col>
      <xdr:colOff>1203960</xdr:colOff>
      <xdr:row>10</xdr:row>
      <xdr:rowOff>70374</xdr:rowOff>
    </xdr:to>
    <xdr:pic>
      <xdr:nvPicPr>
        <xdr:cNvPr id="9" name="Graphic 8" descr="Database outline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D69C802-6FD1-4098-B2FE-3D9F80FCD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84585" y="2359959"/>
          <a:ext cx="819375" cy="819375"/>
        </a:xfrm>
        <a:prstGeom prst="rect">
          <a:avLst/>
        </a:prstGeom>
      </xdr:spPr>
    </xdr:pic>
    <xdr:clientData/>
  </xdr:twoCellAnchor>
  <xdr:twoCellAnchor editAs="oneCell">
    <xdr:from>
      <xdr:col>0</xdr:col>
      <xdr:colOff>330350</xdr:colOff>
      <xdr:row>13</xdr:row>
      <xdr:rowOff>1793</xdr:rowOff>
    </xdr:from>
    <xdr:to>
      <xdr:col>0</xdr:col>
      <xdr:colOff>1188720</xdr:colOff>
      <xdr:row>17</xdr:row>
      <xdr:rowOff>128643</xdr:rowOff>
    </xdr:to>
    <xdr:pic>
      <xdr:nvPicPr>
        <xdr:cNvPr id="10" name="Graphic 9" descr="Books with solid fill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DE762E5-20BE-4A46-8B3E-5A26DAC7B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330350" y="3659393"/>
          <a:ext cx="858370" cy="858370"/>
        </a:xfrm>
        <a:prstGeom prst="rect">
          <a:avLst/>
        </a:prstGeom>
      </xdr:spPr>
    </xdr:pic>
    <xdr:clientData/>
  </xdr:twoCellAnchor>
  <xdr:twoCellAnchor>
    <xdr:from>
      <xdr:col>0</xdr:col>
      <xdr:colOff>164502</xdr:colOff>
      <xdr:row>5</xdr:row>
      <xdr:rowOff>4482</xdr:rowOff>
    </xdr:from>
    <xdr:to>
      <xdr:col>0</xdr:col>
      <xdr:colOff>1539240</xdr:colOff>
      <xdr:row>6</xdr:row>
      <xdr:rowOff>45720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75AF0A7-30F8-4905-9E0E-77F2355BCA41}"/>
            </a:ext>
          </a:extLst>
        </xdr:cNvPr>
        <xdr:cNvSpPr txBox="1"/>
      </xdr:nvSpPr>
      <xdr:spPr>
        <a:xfrm>
          <a:off x="164502" y="1650402"/>
          <a:ext cx="1374738" cy="4069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bg1"/>
              </a:solidFill>
            </a:rPr>
            <a:t>Dashboar</a:t>
          </a:r>
          <a:r>
            <a:rPr lang="en-IN" sz="2000" b="1">
              <a:solidFill>
                <a:schemeClr val="bg1"/>
              </a:solidFill>
            </a:rPr>
            <a:t>d`</a:t>
          </a:r>
        </a:p>
      </xdr:txBody>
    </xdr:sp>
    <xdr:clientData/>
  </xdr:twoCellAnchor>
  <xdr:twoCellAnchor>
    <xdr:from>
      <xdr:col>0</xdr:col>
      <xdr:colOff>309282</xdr:colOff>
      <xdr:row>9</xdr:row>
      <xdr:rowOff>146574</xdr:rowOff>
    </xdr:from>
    <xdr:to>
      <xdr:col>0</xdr:col>
      <xdr:colOff>1582271</xdr:colOff>
      <xdr:row>11</xdr:row>
      <xdr:rowOff>130437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0B6BDB4-325A-4055-AA7A-756868CCFE23}"/>
            </a:ext>
          </a:extLst>
        </xdr:cNvPr>
        <xdr:cNvSpPr txBox="1"/>
      </xdr:nvSpPr>
      <xdr:spPr>
        <a:xfrm>
          <a:off x="309282" y="3072654"/>
          <a:ext cx="1272989" cy="3496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bg1"/>
              </a:solidFill>
            </a:rPr>
            <a:t>Dataset</a:t>
          </a:r>
        </a:p>
      </xdr:txBody>
    </xdr:sp>
    <xdr:clientData/>
  </xdr:twoCellAnchor>
  <xdr:twoCellAnchor>
    <xdr:from>
      <xdr:col>0</xdr:col>
      <xdr:colOff>104886</xdr:colOff>
      <xdr:row>16</xdr:row>
      <xdr:rowOff>164503</xdr:rowOff>
    </xdr:from>
    <xdr:to>
      <xdr:col>0</xdr:col>
      <xdr:colOff>1557168</xdr:colOff>
      <xdr:row>18</xdr:row>
      <xdr:rowOff>148366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5FC52DC-7442-4BEF-BF25-B71A275457A8}"/>
            </a:ext>
          </a:extLst>
        </xdr:cNvPr>
        <xdr:cNvSpPr txBox="1"/>
      </xdr:nvSpPr>
      <xdr:spPr>
        <a:xfrm>
          <a:off x="104886" y="4370743"/>
          <a:ext cx="1452282" cy="3496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bg1"/>
              </a:solidFill>
            </a:rPr>
            <a:t>Data</a:t>
          </a:r>
          <a:r>
            <a:rPr lang="en-IN" sz="1800" b="1" baseline="0">
              <a:solidFill>
                <a:schemeClr val="bg1"/>
              </a:solidFill>
            </a:rPr>
            <a:t> Notes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295834</xdr:colOff>
      <xdr:row>18</xdr:row>
      <xdr:rowOff>44815</xdr:rowOff>
    </xdr:from>
    <xdr:to>
      <xdr:col>0</xdr:col>
      <xdr:colOff>1210234</xdr:colOff>
      <xdr:row>23</xdr:row>
      <xdr:rowOff>62745</xdr:rowOff>
    </xdr:to>
    <xdr:pic>
      <xdr:nvPicPr>
        <xdr:cNvPr id="14" name="Graphic 13" descr="Eye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5DBDCD9-239F-4704-ACB9-6B1EAF416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5834" y="4589921"/>
          <a:ext cx="914400" cy="914400"/>
        </a:xfrm>
        <a:prstGeom prst="rect">
          <a:avLst/>
        </a:prstGeom>
      </xdr:spPr>
    </xdr:pic>
    <xdr:clientData/>
  </xdr:twoCellAnchor>
  <xdr:twoCellAnchor>
    <xdr:from>
      <xdr:col>0</xdr:col>
      <xdr:colOff>309276</xdr:colOff>
      <xdr:row>22</xdr:row>
      <xdr:rowOff>53789</xdr:rowOff>
    </xdr:from>
    <xdr:to>
      <xdr:col>1</xdr:col>
      <xdr:colOff>20483</xdr:colOff>
      <xdr:row>24</xdr:row>
      <xdr:rowOff>56349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CDDACC0-6422-48AE-A89A-378F17254C84}"/>
            </a:ext>
          </a:extLst>
        </xdr:cNvPr>
        <xdr:cNvSpPr txBox="1"/>
      </xdr:nvSpPr>
      <xdr:spPr>
        <a:xfrm>
          <a:off x="309276" y="5316071"/>
          <a:ext cx="1459325" cy="3611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Insight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1649506</xdr:colOff>
      <xdr:row>41</xdr:row>
      <xdr:rowOff>127427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C09609-72C6-4300-8D6F-2E36F19B3AFC}"/>
            </a:ext>
          </a:extLst>
        </xdr:cNvPr>
        <xdr:cNvSpPr/>
      </xdr:nvSpPr>
      <xdr:spPr>
        <a:xfrm>
          <a:off x="0" y="0"/>
          <a:ext cx="1649506" cy="7478486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242047</xdr:colOff>
      <xdr:row>1</xdr:row>
      <xdr:rowOff>44823</xdr:rowOff>
    </xdr:from>
    <xdr:to>
      <xdr:col>1</xdr:col>
      <xdr:colOff>231160</xdr:colOff>
      <xdr:row>6</xdr:row>
      <xdr:rowOff>82602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58AD073-4477-4F14-9E8D-1CFE0BFB4355}"/>
            </a:ext>
          </a:extLst>
        </xdr:cNvPr>
        <xdr:cNvSpPr txBox="1"/>
      </xdr:nvSpPr>
      <xdr:spPr>
        <a:xfrm>
          <a:off x="242047" y="224117"/>
          <a:ext cx="1665513" cy="934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bg1"/>
              </a:solidFill>
              <a:latin typeface="+mn-lt"/>
              <a:ea typeface="+mn-ea"/>
              <a:cs typeface="+mn-cs"/>
            </a:rPr>
            <a:t>Farmer Servey Dashboard</a:t>
          </a:r>
        </a:p>
      </xdr:txBody>
    </xdr:sp>
    <xdr:clientData/>
  </xdr:twoCellAnchor>
  <xdr:twoCellAnchor editAs="oneCell">
    <xdr:from>
      <xdr:col>0</xdr:col>
      <xdr:colOff>412377</xdr:colOff>
      <xdr:row>6</xdr:row>
      <xdr:rowOff>73638</xdr:rowOff>
    </xdr:from>
    <xdr:to>
      <xdr:col>0</xdr:col>
      <xdr:colOff>1387608</xdr:colOff>
      <xdr:row>11</xdr:row>
      <xdr:rowOff>174172</xdr:rowOff>
    </xdr:to>
    <xdr:pic>
      <xdr:nvPicPr>
        <xdr:cNvPr id="4" name="Graphic 3" descr="Bar chart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914DD6-0E8F-4B1B-B61B-9BDE63BFD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12377" y="1149403"/>
          <a:ext cx="975231" cy="997004"/>
        </a:xfrm>
        <a:prstGeom prst="rect">
          <a:avLst/>
        </a:prstGeom>
      </xdr:spPr>
    </xdr:pic>
    <xdr:clientData/>
  </xdr:twoCellAnchor>
  <xdr:twoCellAnchor editAs="oneCell">
    <xdr:from>
      <xdr:col>0</xdr:col>
      <xdr:colOff>430305</xdr:colOff>
      <xdr:row>14</xdr:row>
      <xdr:rowOff>164566</xdr:rowOff>
    </xdr:from>
    <xdr:to>
      <xdr:col>0</xdr:col>
      <xdr:colOff>1351748</xdr:colOff>
      <xdr:row>20</xdr:row>
      <xdr:rowOff>32018</xdr:rowOff>
    </xdr:to>
    <xdr:pic>
      <xdr:nvPicPr>
        <xdr:cNvPr id="5" name="Graphic 4" descr="Database outlin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DA3886A-5985-4EA4-ABD1-BA2E2C6BF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30305" y="2674684"/>
          <a:ext cx="921443" cy="943216"/>
        </a:xfrm>
        <a:prstGeom prst="rect">
          <a:avLst/>
        </a:prstGeom>
      </xdr:spPr>
    </xdr:pic>
    <xdr:clientData/>
  </xdr:twoCellAnchor>
  <xdr:twoCellAnchor editAs="oneCell">
    <xdr:from>
      <xdr:col>0</xdr:col>
      <xdr:colOff>475130</xdr:colOff>
      <xdr:row>23</xdr:row>
      <xdr:rowOff>153680</xdr:rowOff>
    </xdr:from>
    <xdr:to>
      <xdr:col>0</xdr:col>
      <xdr:colOff>1396573</xdr:colOff>
      <xdr:row>29</xdr:row>
      <xdr:rowOff>21132</xdr:rowOff>
    </xdr:to>
    <xdr:pic>
      <xdr:nvPicPr>
        <xdr:cNvPr id="6" name="Graphic 5" descr="Books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B060120-3549-4FEA-A240-F5AE9A8D7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475130" y="4277445"/>
          <a:ext cx="921443" cy="943216"/>
        </a:xfrm>
        <a:prstGeom prst="rect">
          <a:avLst/>
        </a:prstGeom>
      </xdr:spPr>
    </xdr:pic>
    <xdr:clientData/>
  </xdr:twoCellAnchor>
  <xdr:twoCellAnchor>
    <xdr:from>
      <xdr:col>0</xdr:col>
      <xdr:colOff>233082</xdr:colOff>
      <xdr:row>10</xdr:row>
      <xdr:rowOff>141514</xdr:rowOff>
    </xdr:from>
    <xdr:to>
      <xdr:col>1</xdr:col>
      <xdr:colOff>16007</xdr:colOff>
      <xdr:row>12</xdr:row>
      <xdr:rowOff>144076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E85DBCA-B577-4F55-970A-CC5F72581DDC}"/>
            </a:ext>
          </a:extLst>
        </xdr:cNvPr>
        <xdr:cNvSpPr txBox="1"/>
      </xdr:nvSpPr>
      <xdr:spPr>
        <a:xfrm>
          <a:off x="233082" y="1934455"/>
          <a:ext cx="1459325" cy="36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Dashboard`</a:t>
          </a:r>
        </a:p>
      </xdr:txBody>
    </xdr:sp>
    <xdr:clientData/>
  </xdr:twoCellAnchor>
  <xdr:twoCellAnchor>
    <xdr:from>
      <xdr:col>0</xdr:col>
      <xdr:colOff>385482</xdr:colOff>
      <xdr:row>19</xdr:row>
      <xdr:rowOff>85807</xdr:rowOff>
    </xdr:from>
    <xdr:to>
      <xdr:col>0</xdr:col>
      <xdr:colOff>1665514</xdr:colOff>
      <xdr:row>21</xdr:row>
      <xdr:rowOff>88368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5D8577D-46A0-4285-8925-3790EDCB224F}"/>
            </a:ext>
          </a:extLst>
        </xdr:cNvPr>
        <xdr:cNvSpPr txBox="1"/>
      </xdr:nvSpPr>
      <xdr:spPr>
        <a:xfrm>
          <a:off x="385482" y="3492395"/>
          <a:ext cx="1280032" cy="3611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Dataset</a:t>
          </a:r>
        </a:p>
      </xdr:txBody>
    </xdr:sp>
    <xdr:clientData/>
  </xdr:twoCellAnchor>
  <xdr:twoCellAnchor>
    <xdr:from>
      <xdr:col>0</xdr:col>
      <xdr:colOff>242046</xdr:colOff>
      <xdr:row>28</xdr:row>
      <xdr:rowOff>60193</xdr:rowOff>
    </xdr:from>
    <xdr:to>
      <xdr:col>1</xdr:col>
      <xdr:colOff>24971</xdr:colOff>
      <xdr:row>30</xdr:row>
      <xdr:rowOff>62753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7586ED1-1CC9-4D90-9E59-35129C9BEC54}"/>
            </a:ext>
          </a:extLst>
        </xdr:cNvPr>
        <xdr:cNvSpPr txBox="1"/>
      </xdr:nvSpPr>
      <xdr:spPr>
        <a:xfrm>
          <a:off x="242046" y="5080428"/>
          <a:ext cx="1459325" cy="3611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Data</a:t>
          </a:r>
          <a:r>
            <a:rPr lang="en-IN" sz="2000" b="1" baseline="0">
              <a:solidFill>
                <a:schemeClr val="bg1"/>
              </a:solidFill>
            </a:rPr>
            <a:t> Notes</a:t>
          </a:r>
          <a:endParaRPr lang="en-IN" sz="20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468090</xdr:colOff>
      <xdr:row>31</xdr:row>
      <xdr:rowOff>37131</xdr:rowOff>
    </xdr:from>
    <xdr:to>
      <xdr:col>0</xdr:col>
      <xdr:colOff>1382490</xdr:colOff>
      <xdr:row>36</xdr:row>
      <xdr:rowOff>55061</xdr:rowOff>
    </xdr:to>
    <xdr:pic>
      <xdr:nvPicPr>
        <xdr:cNvPr id="10" name="Graphic 9" descr="Eye with solid fill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EC03856-8052-4C6D-BBEC-E3D6CAB10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68090" y="5595249"/>
          <a:ext cx="914400" cy="914400"/>
        </a:xfrm>
        <a:prstGeom prst="rect">
          <a:avLst/>
        </a:prstGeom>
      </xdr:spPr>
    </xdr:pic>
    <xdr:clientData/>
  </xdr:twoCellAnchor>
  <xdr:twoCellAnchor>
    <xdr:from>
      <xdr:col>0</xdr:col>
      <xdr:colOff>481532</xdr:colOff>
      <xdr:row>35</xdr:row>
      <xdr:rowOff>46105</xdr:rowOff>
    </xdr:from>
    <xdr:to>
      <xdr:col>1</xdr:col>
      <xdr:colOff>264457</xdr:colOff>
      <xdr:row>37</xdr:row>
      <xdr:rowOff>48666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D0F75C1-C880-4CB4-BDF4-19C6F49DCCC1}"/>
            </a:ext>
          </a:extLst>
        </xdr:cNvPr>
        <xdr:cNvSpPr txBox="1"/>
      </xdr:nvSpPr>
      <xdr:spPr>
        <a:xfrm>
          <a:off x="481532" y="6321399"/>
          <a:ext cx="1459325" cy="3611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Insight</a:t>
          </a:r>
        </a:p>
      </xdr:txBody>
    </xdr:sp>
    <xdr:clientData/>
  </xdr:twoCellAnchor>
  <xdr:twoCellAnchor editAs="oneCell">
    <xdr:from>
      <xdr:col>0</xdr:col>
      <xdr:colOff>295833</xdr:colOff>
      <xdr:row>0</xdr:row>
      <xdr:rowOff>71717</xdr:rowOff>
    </xdr:from>
    <xdr:to>
      <xdr:col>0</xdr:col>
      <xdr:colOff>708209</xdr:colOff>
      <xdr:row>2</xdr:row>
      <xdr:rowOff>7555</xdr:rowOff>
    </xdr:to>
    <xdr:pic>
      <xdr:nvPicPr>
        <xdr:cNvPr id="12" name="Graphic 11" descr="Leaf with solid fill">
          <a:extLst>
            <a:ext uri="{FF2B5EF4-FFF2-40B4-BE49-F238E27FC236}">
              <a16:creationId xmlns:a16="http://schemas.microsoft.com/office/drawing/2014/main" id="{AA267646-ED6F-4812-9935-397D46EF4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5833" y="71717"/>
          <a:ext cx="412376" cy="294426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ay Bisen" refreshedDate="46323.797826851849" createdVersion="8" refreshedVersion="8" minRefreshableVersion="3" recordCount="742" xr:uid="{12CA79E5-A88E-46F9-B5A0-60A30608D511}">
  <cacheSource type="worksheet">
    <worksheetSource ref="B1:P743" sheet="dataset"/>
  </cacheSource>
  <cacheFields count="15">
    <cacheField name="Sr.NO." numFmtId="0">
      <sharedItems containsSemiMixedTypes="0" containsString="0" containsNumber="1" containsInteger="1" minValue="1" maxValue="742"/>
    </cacheField>
    <cacheField name="Village Name" numFmtId="0">
      <sharedItems/>
    </cacheField>
    <cacheField name="Beneficiary ID" numFmtId="0">
      <sharedItems containsSemiMixedTypes="0" containsString="0" containsNumber="1" containsInteger="1" minValue="12164382" maxValue="2251871569" count="704">
        <n v="57020316"/>
        <n v="2251381201"/>
        <n v="56005472"/>
        <n v="2250414575"/>
        <n v="57017788"/>
        <n v="2080077166"/>
        <n v="57026127"/>
        <n v="2080074631"/>
        <n v="56013069"/>
        <n v="2080081271"/>
        <n v="57027532"/>
        <n v="2080077407"/>
        <n v="56008631"/>
        <n v="2080080918"/>
        <n v="56019503"/>
        <n v="1950670962"/>
        <n v="55989793"/>
        <n v="2080077661"/>
        <n v="57025341"/>
        <n v="2080077294"/>
        <n v="55989018"/>
        <n v="1950669383"/>
        <n v="55971544"/>
        <n v="2080980959"/>
        <n v="57012625"/>
        <n v="2080080229"/>
        <n v="55998641"/>
        <n v="1950671020"/>
        <n v="57029974"/>
        <n v="1950673956"/>
        <n v="55979705"/>
        <n v="2080078207"/>
        <n v="56018711"/>
        <n v="2080078740"/>
        <n v="57011285"/>
        <n v="1950689011"/>
        <n v="56016580"/>
        <n v="1950670555"/>
        <n v="57018590"/>
        <n v="1950670500"/>
        <n v="55990946"/>
        <n v="2081000850"/>
        <n v="56018089"/>
        <n v="2080979938"/>
        <n v="56024657"/>
        <n v="1950680817"/>
        <n v="55986427"/>
        <n v="2080078514"/>
        <n v="56007687"/>
        <n v="2080080557"/>
        <n v="56021683"/>
        <n v="2080980008"/>
        <n v="56015170"/>
        <n v="2080080858"/>
        <n v="56006037"/>
        <n v="2080980157"/>
        <n v="55994190"/>
        <n v="1950669322"/>
        <n v="56023588"/>
        <n v="1950669006"/>
        <n v="55995622"/>
        <n v="1950668973"/>
        <n v="55968301"/>
        <n v="1950672889"/>
        <n v="55994962"/>
        <n v="2080079281"/>
        <n v="56011675"/>
        <n v="2080979889"/>
        <n v="56026978"/>
        <n v="2080979956"/>
        <n v="56024509"/>
        <n v="2080080451"/>
        <n v="56010683"/>
        <n v="2080078839"/>
        <n v="56020173"/>
        <n v="2080081308"/>
        <n v="56001851"/>
        <n v="2080081131"/>
        <n v="55976229"/>
        <n v="1950669281"/>
        <n v="56022767"/>
        <n v="2080081035"/>
        <n v="57030553"/>
        <n v="2080079038"/>
        <n v="55988417"/>
        <n v="2080077933"/>
        <n v="55999999"/>
        <n v="2080979794"/>
        <n v="57014140"/>
        <n v="1950671177"/>
        <n v="55970518"/>
        <n v="2080980207"/>
        <n v="57029413"/>
        <n v="2080077606"/>
        <n v="56004302"/>
        <n v="2080079936"/>
        <n v="57033163"/>
        <n v="1950673520"/>
        <n v="56015857"/>
        <n v="1950681028"/>
        <n v="56025593"/>
        <n v="1950669208"/>
        <n v="57017305"/>
        <n v="2080980115"/>
        <n v="57011994"/>
        <n v="2080079699"/>
        <n v="57019119"/>
        <n v="2080079416"/>
        <n v="56003521"/>
        <n v="2251871569"/>
        <n v="56006777"/>
        <n v="1950669306"/>
        <n v="55973005"/>
        <n v="2080980042"/>
        <n v="57031098"/>
        <n v="2080080358"/>
        <n v="57022844"/>
        <n v="2080079348"/>
        <n v="57022315"/>
        <n v="2080080799"/>
        <n v="57027087"/>
        <n v="2251034095"/>
        <n v="57032720"/>
        <n v="1950681094"/>
        <n v="57023359"/>
        <n v="2080078966"/>
        <n v="57031756"/>
        <n v="2080079620"/>
        <n v="55990464"/>
        <n v="1950688973"/>
        <n v="55984672"/>
        <n v="2080078338"/>
        <n v="55987834"/>
        <n v="1950670602"/>
        <n v="55985173"/>
        <n v="2080074476"/>
        <n v="57032325"/>
        <n v="2080080067"/>
        <n v="55983626"/>
        <n v="1950669410"/>
        <n v="55977384"/>
        <n v="1950680941"/>
        <n v="55985739"/>
        <n v="2080078069"/>
        <n v="56001196"/>
        <n v="1950669045"/>
        <n v="55972243"/>
        <n v="2080078607"/>
        <n v="57016615"/>
        <n v="2080979906"/>
        <n v="57021148"/>
        <n v="1950689046"/>
        <n v="56000468"/>
        <n v="1950688665"/>
        <n v="55991602"/>
        <n v="2080979776"/>
        <n v="55992471"/>
        <n v="2080078682"/>
        <n v="55986970"/>
        <n v="2080079123"/>
        <n v="55981726"/>
        <n v="1950669063"/>
        <n v="56009353"/>
        <n v="2080080683"/>
        <n v="55999239"/>
        <n v="2080081090"/>
        <n v="57028156"/>
        <n v="2080979975"/>
        <n v="56014379"/>
        <n v="1950669180"/>
        <n v="55980783"/>
        <n v="2251481237"/>
        <n v="57019769"/>
        <n v="1950689081"/>
        <n v="57021903"/>
        <n v="2080079862"/>
        <n v="57028867"/>
        <n v="2080081203"/>
        <n v="57026705"/>
        <n v="2080980179"/>
        <n v="56013693"/>
        <n v="1950688916"/>
        <n v="55996174"/>
        <n v="2080079763"/>
        <n v="55973978"/>
        <n v="1950673085"/>
        <n v="57020803"/>
        <n v="2080080977"/>
        <n v="55978928"/>
        <n v="1950673305"/>
        <n v="55993474"/>
        <n v="2081000833"/>
        <n v="56011071"/>
        <n v="2080080002"/>
        <n v="56017322"/>
        <n v="2251086493"/>
        <n v="55978253"/>
        <n v="2080079505"/>
        <n v="811302799"/>
        <n v="2080077738"/>
        <n v="55590085"/>
        <n v="2080077801"/>
        <n v="54648405"/>
        <n v="2080078796"/>
        <n v="55535167"/>
        <n v="1950669239"/>
        <n v="55539379"/>
        <n v="2080979750"/>
        <n v="55957811"/>
        <n v="1950673774"/>
        <n v="55120623"/>
        <n v="2080079183"/>
        <n v="55460644"/>
        <n v="1951683210"/>
        <n v="811348115"/>
        <n v="1950672959"/>
        <n v="811345997"/>
        <n v="2080980136"/>
        <n v="55166996"/>
        <n v="1950672802"/>
        <n v="54643241"/>
        <n v="2080077516"/>
        <n v="55565314"/>
        <n v="1950668922"/>
        <n v="22256830"/>
        <n v="2080079550"/>
        <n v="811301456"/>
        <n v="2080077094"/>
        <n v="55529771"/>
        <n v="811302509"/>
        <n v="55599983"/>
        <n v="55164779"/>
        <n v="55133579"/>
        <n v="811302851"/>
        <n v="55966164"/>
        <n v="55503253"/>
        <n v="55550109"/>
        <n v="55576242"/>
        <n v="28323756"/>
        <n v="54113345"/>
        <n v="55130336"/>
        <n v="54115575"/>
        <n v="55612864"/>
        <n v="55156858"/>
        <n v="55152240"/>
        <n v="811302725"/>
        <n v="55478717"/>
        <n v="54661047"/>
        <n v="54635843"/>
        <n v="25087747"/>
        <n v="55947793"/>
        <n v="55522082"/>
        <n v="55147703"/>
        <n v="55126910"/>
        <n v="28287140"/>
        <n v="54672968"/>
        <n v="47917741"/>
        <n v="55132229"/>
        <n v="55456294"/>
        <n v="55532977"/>
        <n v="811348257"/>
        <n v="55124511"/>
        <n v="54637028"/>
        <n v="55575313"/>
        <n v="811302743"/>
        <n v="55570702"/>
        <n v="55461452"/>
        <n v="55440494"/>
        <n v="55504578"/>
        <n v="47901183"/>
        <n v="55531490"/>
        <n v="25085390"/>
        <n v="47907212"/>
        <n v="22245480"/>
        <n v="55959992"/>
        <n v="25071032"/>
        <n v="55960855"/>
        <n v="47900116"/>
        <n v="55114867"/>
        <n v="55961535"/>
        <n v="55439453"/>
        <n v="55503999"/>
        <n v="55131731"/>
        <n v="811370250"/>
        <n v="54135361"/>
        <n v="55137369"/>
        <n v="55561357"/>
        <n v="811303499"/>
        <n v="55611925"/>
        <n v="55958585"/>
        <n v="811303348"/>
        <n v="25088834"/>
        <n v="55528792"/>
        <n v="22246732"/>
        <n v="55526833"/>
        <n v="55568162"/>
        <n v="55513407"/>
        <n v="811301461"/>
        <n v="55532128"/>
        <n v="55544436"/>
        <n v="55139362"/>
        <n v="55134076"/>
        <n v="55134556"/>
        <n v="55469865"/>
        <n v="55149007"/>
        <n v="55953852"/>
        <n v="55519206"/>
        <n v="54098947"/>
        <n v="55447148"/>
        <n v="55146465"/>
        <n v="55464266"/>
        <n v="811301848"/>
        <n v="811303601"/>
        <n v="55505915"/>
        <n v="55516735"/>
        <n v="55482093"/>
        <n v="811303195"/>
        <n v="55542863"/>
        <n v="55550706"/>
        <n v="25084154"/>
        <n v="55121743"/>
        <n v="811347837"/>
        <n v="811302482"/>
        <n v="54662097"/>
        <n v="12164382"/>
        <n v="55603949"/>
        <n v="25086617"/>
        <n v="55546596"/>
        <n v="54093468"/>
        <n v="55135619"/>
        <n v="55534478"/>
        <n v="55523902"/>
        <n v="25063145"/>
        <n v="55161718"/>
        <n v="55153938"/>
        <n v="55535963"/>
        <n v="55577797"/>
        <n v="55469212"/>
        <n v="55129729"/>
        <n v="54120480"/>
        <n v="54113486"/>
        <n v="811301868"/>
        <n v="811304005"/>
        <n v="811302889"/>
        <n v="55127440"/>
        <n v="55107804"/>
        <n v="55571672"/>
        <n v="28280169"/>
        <n v="55574731"/>
        <n v="1950680623"/>
        <n v="28284118"/>
        <n v="55154428"/>
        <n v="55462211"/>
        <n v="54672036"/>
        <n v="55948630"/>
        <n v="55959230"/>
        <n v="55533621"/>
        <n v="55162723"/>
        <n v="55108349"/>
        <n v="55463225"/>
        <n v="811347809"/>
        <n v="811301992"/>
        <n v="55541215"/>
        <n v="55148163"/>
        <n v="1950680879"/>
        <n v="55545652"/>
        <n v="54639318"/>
        <n v="1950680529"/>
        <n v="1950681463"/>
        <n v="55496550"/>
        <n v="1950670794"/>
        <n v="55122378"/>
        <n v="55537277"/>
        <n v="54657636"/>
        <n v="55588825"/>
        <n v="55557740"/>
        <n v="55964010"/>
        <n v="55509632"/>
        <n v="55956939"/>
        <n v="55553458"/>
        <n v="54668606"/>
        <n v="55556353"/>
        <n v="811347906"/>
        <n v="55952984"/>
        <n v="55508160"/>
        <n v="811325731"/>
        <n v="811345971"/>
        <n v="811303545"/>
        <n v="55168296"/>
        <n v="55538513"/>
        <n v="55466141"/>
        <n v="55518262"/>
        <n v="55540651"/>
        <n v="54673657"/>
        <n v="55506656"/>
        <n v="811303436"/>
        <n v="55160291"/>
        <n v="55129137"/>
        <n v="811348364"/>
        <n v="55134994"/>
        <n v="25602662"/>
        <n v="55163602"/>
        <n v="55474808"/>
        <n v="811301445"/>
        <n v="55939819"/>
        <n v="811302398"/>
        <n v="25069227"/>
        <n v="811303968"/>
        <n v="25089961"/>
        <n v="54133747"/>
        <n v="22349312"/>
        <n v="55598843"/>
        <n v="54106257"/>
        <n v="811306560"/>
        <n v="55501497"/>
        <n v="811302719"/>
        <n v="55530721"/>
        <n v="55928321"/>
        <n v="54155688"/>
        <n v="55547923"/>
        <n v="55932605"/>
        <n v="47908312"/>
        <n v="55540253"/>
        <n v="55437347"/>
        <n v="55564005"/>
        <n v="47904862"/>
        <n v="55520859"/>
        <n v="28326047"/>
        <n v="55497670"/>
        <n v="55436567"/>
        <n v="55523034"/>
        <n v="55562426"/>
        <n v="55929273"/>
        <n v="55433609"/>
        <n v="54097733"/>
        <n v="55163958"/>
        <n v="55516026"/>
        <n v="55537745"/>
        <n v="811304095"/>
        <n v="811304056"/>
        <n v="55117491"/>
        <n v="55163075"/>
        <n v="55541866"/>
        <n v="811301788"/>
        <n v="811348198"/>
        <n v="1950673836"/>
        <n v="28324987"/>
        <n v="55946174"/>
        <n v="55130788"/>
        <n v="811302656"/>
        <n v="55554002"/>
        <n v="47905856"/>
        <n v="22243888"/>
        <n v="55573085"/>
        <n v="54644765"/>
        <n v="55542478"/>
        <n v="55131273"/>
        <n v="54667216"/>
        <n v="811346026"/>
        <n v="811303221"/>
        <n v="55536638"/>
        <n v="55552042"/>
        <n v="54117607"/>
        <n v="54095231"/>
        <n v="55589390"/>
        <n v="55955445"/>
        <n v="55144992"/>
        <n v="54638378"/>
        <n v="55117991"/>
        <n v="54669369"/>
        <n v="55966966"/>
        <n v="55168715"/>
        <n v="55501965"/>
        <n v="54642418"/>
        <n v="55452363"/>
        <n v="22261923"/>
        <n v="55164421"/>
        <n v="55553028"/>
        <n v="811306605"/>
        <n v="22263602"/>
        <n v="54094246"/>
        <n v="25066877"/>
        <n v="55471910"/>
        <n v="54106955"/>
        <n v="55939075"/>
        <n v="25082439"/>
        <n v="55432905"/>
        <n v="811302816"/>
        <n v="28288190"/>
        <n v="811306514"/>
        <n v="47902201"/>
        <n v="1950673339"/>
        <n v="55166545"/>
        <n v="28285407"/>
        <n v="811302659"/>
        <n v="55566912"/>
        <n v="54653886"/>
        <n v="55155822"/>
        <n v="54644018"/>
        <n v="47913490"/>
        <n v="54146236"/>
        <n v="55140997"/>
        <n v="811302203"/>
        <n v="55166229"/>
        <n v="55473137"/>
        <n v="55448063"/>
        <n v="811303575"/>
        <n v="54114445"/>
        <n v="55611169"/>
        <n v="54146922"/>
        <n v="55926779"/>
        <n v="55555105"/>
        <n v="55480234"/>
        <n v="55156340"/>
        <n v="55468356"/>
        <n v="55502557"/>
        <n v="55161253"/>
        <n v="1950671068"/>
        <n v="54664865"/>
        <n v="811325592"/>
        <n v="811303459"/>
        <n v="55563289"/>
        <n v="55497106"/>
        <n v="54118988"/>
        <n v="25609959"/>
        <n v="54640156"/>
        <n v="55445719"/>
        <n v="811302685"/>
        <n v="55125901"/>
        <n v="25605522"/>
        <n v="55938139"/>
        <n v="55524933"/>
        <n v="55151351"/>
        <n v="811301472"/>
        <n v="54148360"/>
        <n v="55607877"/>
        <n v="55465212"/>
        <n v="55475449"/>
        <n v="55136180"/>
        <n v="25608360"/>
        <n v="25606872"/>
        <n v="55155241"/>
        <n v="54115059"/>
        <n v="811302758"/>
        <n v="55956115"/>
        <n v="55600861"/>
        <n v="811302693"/>
        <n v="811302815"/>
        <n v="811303518"/>
        <n v="811306450"/>
        <n v="55150356"/>
        <n v="22352238"/>
        <n v="55931561"/>
        <n v="55114230"/>
        <n v="811302778"/>
        <n v="55549417"/>
        <n v="54651691"/>
        <n v="55945351"/>
        <n v="55944551"/>
        <n v="55170006"/>
        <n v="55435714"/>
        <n v="55520138"/>
        <n v="811303480"/>
        <n v="55159836"/>
        <n v="54634665"/>
        <n v="55521617"/>
        <n v="54671154"/>
        <n v="55471177"/>
        <n v="55507255"/>
        <n v="55941753"/>
        <n v="55434738"/>
        <n v="55121154"/>
        <n v="55165911"/>
        <n v="47911754"/>
        <n v="1950688843"/>
        <n v="55119591"/>
        <n v="811348223"/>
        <n v="55124001"/>
        <n v="54665764"/>
        <n v="54145189"/>
        <n v="811306390"/>
        <n v="55157292"/>
        <n v="55126435"/>
        <n v="55601977"/>
        <n v="55514662"/>
        <n v="55145528"/>
        <n v="54136586"/>
        <n v="55609120"/>
        <n v="55473915"/>
        <n v="55591661"/>
        <n v="25611589"/>
        <n v="55123111"/>
        <n v="55107201"/>
        <n v="55573916"/>
        <n v="54646726"/>
        <n v="811302343"/>
        <n v="25080821"/>
        <n v="55123455"/>
        <n v="811302742"/>
        <n v="55147008"/>
        <n v="55529301"/>
        <n v="55505276"/>
        <n v="55162185"/>
        <n v="55133065"/>
        <n v="55479209"/>
        <n v="22255126"/>
        <n v="55608484"/>
        <n v="55558850"/>
        <n v="55610236"/>
        <n v="54107439"/>
        <n v="55606861"/>
        <n v="55115837"/>
        <n v="811301481"/>
        <n v="55169072"/>
        <n v="55586997"/>
        <n v="55942613"/>
        <n v="55120072"/>
        <n v="55125421"/>
        <n v="811301488"/>
        <n v="811346063"/>
        <n v="55511411"/>
        <n v="54149225"/>
        <n v="55149845"/>
        <n v="55950026"/>
        <n v="55949348"/>
        <n v="55138032"/>
        <n v="55526125"/>
        <n v="55477485"/>
        <n v="55167482"/>
        <n v="55965192"/>
        <n v="55455176"/>
        <n v="55517262"/>
        <n v="55138603"/>
        <n v="811303163"/>
        <n v="54650877"/>
        <n v="55933808"/>
        <n v="55140310"/>
        <n v="55454396"/>
        <n v="55515338"/>
        <n v="47909473"/>
        <n v="55167903"/>
        <n v="55152712"/>
        <n v="55954716"/>
        <n v="47915846"/>
        <n v="55509068"/>
        <n v="55144509"/>
        <n v="811347865"/>
        <n v="55467384"/>
        <n v="25604049"/>
        <n v="811302027"/>
        <n v="811348057"/>
        <n v="55927491"/>
        <n v="811301768"/>
        <n v="55150811"/>
        <n v="811348026"/>
        <n v="811302501"/>
        <n v="54137300"/>
        <n v="811325625"/>
        <n v="55116450"/>
        <n v="55527384"/>
        <n v="55443579"/>
        <n v="54096609"/>
        <n v="54658752"/>
        <n v="55165444"/>
        <n v="811347928"/>
        <n v="55943598"/>
        <n v="55453406"/>
        <n v="55444563"/>
        <n v="55472532"/>
        <n v="55512713"/>
        <n v="55528014"/>
        <n v="811303417"/>
        <n v="54655129"/>
        <n v="811325758"/>
        <n v="55118910"/>
        <n v="55148559"/>
        <n v="55127957"/>
        <n v="811301893"/>
        <n v="54147724"/>
        <n v="55962965"/>
        <n v="55940554"/>
        <n v="55559550"/>
        <n v="55441560"/>
        <n v="55116878"/>
        <n v="55115263"/>
        <n v="55149445"/>
        <n v="54157081"/>
        <n v="55590588"/>
        <n v="811302011"/>
        <n v="55605027"/>
        <n v="55160866"/>
        <n v="811348143"/>
        <n v="55450162"/>
        <n v="55481211"/>
        <n v="811302870"/>
        <n v="55962372"/>
        <n v="54663812"/>
        <n v="811303247"/>
        <n v="811302676"/>
        <n v="811301499"/>
        <n v="55442994"/>
        <n v="47916816"/>
        <n v="54660075"/>
        <n v="54116615"/>
      </sharedItems>
    </cacheField>
    <cacheField name="Family Head Name" numFmtId="0">
      <sharedItems/>
    </cacheField>
    <cacheField name="Father/Husband Name" numFmtId="0">
      <sharedItems/>
    </cacheField>
    <cacheField name="Gender" numFmtId="0">
      <sharedItems count="2">
        <s v="Male"/>
        <s v="Female"/>
      </sharedItems>
    </cacheField>
    <cacheField name="Category" numFmtId="0">
      <sharedItems/>
    </cacheField>
    <cacheField name="Farmar  Category" numFmtId="0">
      <sharedItems count="8">
        <s v="Small &amp; Marginal Farmers"/>
        <s v="ST"/>
        <s v="Landless with homestead"/>
        <s v="GENERAL"/>
        <s v="Other"/>
        <s v="Women Headed HH"/>
        <s v="SC"/>
        <s v="Physically Handicapped"/>
      </sharedItems>
    </cacheField>
    <cacheField name="Photo Uploaded" numFmtId="0">
      <sharedItems/>
    </cacheField>
    <cacheField name="Photo Approved" numFmtId="0">
      <sharedItems/>
    </cacheField>
    <cacheField name="Age" numFmtId="1">
      <sharedItems containsSemiMixedTypes="0" containsString="0" containsNumber="1" containsInteger="1" minValue="27" maxValue="85"/>
    </cacheField>
    <cacheField name="Land_Size_Acres" numFmtId="0">
      <sharedItems containsSemiMixedTypes="0" containsString="0" containsNumber="1" minValue="0" maxValue="7.8" count="296">
        <n v="0.91"/>
        <n v="0.99"/>
        <n v="0.54"/>
        <n v="3.17"/>
        <n v="3.75"/>
        <n v="0.23"/>
        <n v="0"/>
        <n v="1.22"/>
        <n v="0.39"/>
        <n v="3.46"/>
        <n v="3.26"/>
        <n v="0.94"/>
        <n v="1.1200000000000001"/>
        <n v="0.52"/>
        <n v="1.23"/>
        <n v="3"/>
        <n v="0.16"/>
        <n v="0.87"/>
        <n v="4.17"/>
        <n v="0.21"/>
        <n v="1.44"/>
        <n v="0.92"/>
        <n v="0.25"/>
        <n v="4.5199999999999996"/>
        <n v="0.37"/>
        <n v="4.34"/>
        <n v="1.6"/>
        <n v="1.43"/>
        <n v="1.03"/>
        <n v="2.15"/>
        <n v="2.64"/>
        <n v="0.64"/>
        <n v="3.83"/>
        <n v="0.22"/>
        <n v="0.74"/>
        <n v="0.62"/>
        <n v="0.11"/>
        <n v="3.53"/>
        <n v="0.69"/>
        <n v="3.74"/>
        <n v="1.1000000000000001"/>
        <n v="4.3499999999999996"/>
        <n v="0.43"/>
        <n v="2.48"/>
        <n v="0.88"/>
        <n v="0.78"/>
        <n v="1.64"/>
        <n v="1.31"/>
        <n v="4.8099999999999996"/>
        <n v="2.4700000000000002"/>
        <n v="1.28"/>
        <n v="4.49"/>
        <n v="3.5"/>
        <n v="1.85"/>
        <n v="1.02"/>
        <n v="1.94"/>
        <n v="1.8"/>
        <n v="3.33"/>
        <n v="1.29"/>
        <n v="0.59"/>
        <n v="1.53"/>
        <n v="0.7"/>
        <n v="4.71"/>
        <n v="2.56"/>
        <n v="6.2"/>
        <n v="2.94"/>
        <n v="2.0299999999999998"/>
        <n v="3.9"/>
        <n v="3.24"/>
        <n v="1.35"/>
        <n v="0.45"/>
        <n v="6.54"/>
        <n v="3.94"/>
        <n v="3.58"/>
        <n v="0.66"/>
        <n v="0.77"/>
        <n v="0.42"/>
        <n v="1.55"/>
        <n v="4.82"/>
        <n v="2.5299999999999998"/>
        <n v="3.79"/>
        <n v="0.75"/>
        <n v="2.13"/>
        <n v="3.96"/>
        <n v="0.79"/>
        <n v="1.89"/>
        <n v="6.3"/>
        <n v="3.93"/>
        <n v="1.82"/>
        <n v="0.3"/>
        <n v="0.61"/>
        <n v="2.3199999999999998"/>
        <n v="1.51"/>
        <n v="0.26"/>
        <n v="2.5099999999999998"/>
        <n v="2.66"/>
        <n v="1.69"/>
        <n v="1.1599999999999999"/>
        <n v="3.73"/>
        <n v="1.78"/>
        <n v="0.56999999999999995"/>
        <n v="2.91"/>
        <n v="3.03"/>
        <n v="1.41"/>
        <n v="4.4400000000000004"/>
        <n v="0.47"/>
        <n v="1.81"/>
        <n v="6.97"/>
        <n v="5.71"/>
        <n v="2.2200000000000002"/>
        <n v="1.1100000000000001"/>
        <n v="1.61"/>
        <n v="0.28000000000000003"/>
        <n v="1.98"/>
        <n v="1.06"/>
        <n v="4.1500000000000004"/>
        <n v="1.17"/>
        <n v="3.55"/>
        <n v="1.5"/>
        <n v="0.97"/>
        <n v="0.28999999999999998"/>
        <n v="2.84"/>
        <n v="0.33"/>
        <n v="1"/>
        <n v="4.53"/>
        <n v="1.2"/>
        <n v="1.47"/>
        <n v="2"/>
        <n v="1.26"/>
        <n v="1.39"/>
        <n v="4.88"/>
        <n v="3.47"/>
        <n v="0.93"/>
        <n v="3.92"/>
        <n v="2.62"/>
        <n v="1.95"/>
        <n v="1.91"/>
        <n v="2.99"/>
        <n v="2.1800000000000002"/>
        <n v="6.09"/>
        <n v="0.86"/>
        <n v="1.42"/>
        <n v="4.66"/>
        <n v="3.85"/>
        <n v="0.24"/>
        <n v="3.12"/>
        <n v="0.89"/>
        <n v="0.2"/>
        <n v="0.5"/>
        <n v="7.8"/>
        <n v="3.49"/>
        <n v="4.51"/>
        <n v="1.34"/>
        <n v="0.48"/>
        <n v="3.45"/>
        <n v="4.16"/>
        <n v="7.19"/>
        <n v="1.63"/>
        <n v="0.41"/>
        <n v="1.92"/>
        <n v="4.78"/>
        <n v="1.21"/>
        <n v="1.49"/>
        <n v="2.21"/>
        <n v="7.33"/>
        <n v="3.64"/>
        <n v="0.82"/>
        <n v="2.59"/>
        <n v="5.46"/>
        <n v="0.68"/>
        <n v="0.63"/>
        <n v="2.9"/>
        <n v="3.34"/>
        <n v="4.22"/>
        <n v="2.34"/>
        <n v="1.25"/>
        <n v="0.71"/>
        <n v="2.83"/>
        <n v="1.57"/>
        <n v="0.4"/>
        <n v="5.27"/>
        <n v="2.46"/>
        <n v="6.78"/>
        <n v="0.53"/>
        <n v="4.9800000000000004"/>
        <n v="1.58"/>
        <n v="2.14"/>
        <n v="6.72"/>
        <n v="2.41"/>
        <n v="1.9"/>
        <n v="1.65"/>
        <n v="2.65"/>
        <n v="0.81"/>
        <n v="0.65"/>
        <n v="1.62"/>
        <n v="1.19"/>
        <n v="7.18"/>
        <n v="2.35"/>
        <n v="4.41"/>
        <n v="1.79"/>
        <n v="3.15"/>
        <n v="1.74"/>
        <n v="2.81"/>
        <n v="1.59"/>
        <n v="3.97"/>
        <n v="3.51"/>
        <n v="1.0900000000000001"/>
        <n v="1.36"/>
        <n v="0.9"/>
        <n v="3.98"/>
        <n v="3.36"/>
        <n v="0.57999999999999996"/>
        <n v="2.16"/>
        <n v="2.36"/>
        <n v="1.66"/>
        <n v="1.72"/>
        <n v="0.67"/>
        <n v="0.72"/>
        <n v="2.93"/>
        <n v="4"/>
        <n v="4.97"/>
        <n v="4.54"/>
        <n v="2.33"/>
        <n v="6.35"/>
        <n v="3.13"/>
        <n v="0.6"/>
        <n v="1.32"/>
        <n v="1.67"/>
        <n v="2.2400000000000002"/>
        <n v="0.83"/>
        <n v="0.84"/>
        <n v="0.19"/>
        <n v="4.87"/>
        <n v="6.79"/>
        <n v="3.18"/>
        <n v="1.83"/>
        <n v="1.01"/>
        <n v="3.32"/>
        <n v="2.74"/>
        <n v="4.8499999999999996"/>
        <n v="7.78"/>
        <n v="3.87"/>
        <n v="1.93"/>
        <n v="2.4500000000000002"/>
        <n v="1.1299999999999999"/>
        <n v="4.1399999999999997"/>
        <n v="3.66"/>
        <n v="2.37"/>
        <n v="4.7699999999999996"/>
        <n v="4.5999999999999996"/>
        <n v="3.19"/>
        <n v="3.06"/>
        <n v="3.82"/>
        <n v="0.27"/>
        <n v="6.42"/>
        <n v="3.48"/>
        <n v="2.68"/>
        <n v="7.54"/>
        <n v="3.88"/>
        <n v="3.81"/>
        <n v="3.3"/>
        <n v="2.67"/>
        <n v="0.31"/>
        <n v="0.34"/>
        <n v="2.0699999999999998"/>
        <n v="2.8"/>
        <n v="3.95"/>
        <n v="0.13"/>
        <n v="1.88"/>
        <n v="4.3600000000000003"/>
        <n v="4.33"/>
        <n v="0.17"/>
        <n v="6.5"/>
        <n v="0.96"/>
        <n v="5.41"/>
        <n v="4.24"/>
        <n v="3.11"/>
        <n v="2.44"/>
        <n v="0.38"/>
        <n v="1.08"/>
        <n v="3.59"/>
        <n v="0.44"/>
        <n v="1.27"/>
        <n v="4.13"/>
        <n v="3.44"/>
        <n v="2.89"/>
        <n v="6.23"/>
        <n v="3.61"/>
        <n v="4.37"/>
        <n v="0.46"/>
        <n v="2.4300000000000002"/>
        <n v="3.31"/>
        <n v="1.52"/>
        <n v="0.32"/>
        <n v="4.38"/>
        <n v="3.14"/>
      </sharedItems>
    </cacheField>
    <cacheField name="Land_Ownership" numFmtId="1">
      <sharedItems count="4">
        <s v="Owned"/>
        <s v="No agricultural land"/>
        <s v="Partly owned / partly leased"/>
        <s v="Leased"/>
      </sharedItems>
    </cacheField>
    <cacheField name="Main_Crop" numFmtId="0">
      <sharedItems count="9">
        <s v="Rice"/>
        <s v="Tur (Pigeon Pea)"/>
        <s v="Soybean"/>
        <s v="Not applicable"/>
        <s v="Chickpea"/>
        <s v="Vegetables"/>
        <s v="Wheat"/>
        <s v="Cotton"/>
        <s v="Maize"/>
      </sharedItems>
    </cacheField>
    <cacheField name="Annual_Farming_Income_INR" numFmtId="1">
      <sharedItems containsSemiMixedTypes="0" containsString="0" containsNumber="1" containsInteger="1" minValue="0" maxValue="388000" count="187">
        <n v="43000"/>
        <n v="18000"/>
        <n v="23000"/>
        <n v="113000"/>
        <n v="202000"/>
        <n v="5000"/>
        <n v="0"/>
        <n v="47000"/>
        <n v="16000"/>
        <n v="147000"/>
        <n v="84000"/>
        <n v="27000"/>
        <n v="31000"/>
        <n v="15000"/>
        <n v="116000"/>
        <n v="9000"/>
        <n v="30000"/>
        <n v="369000"/>
        <n v="8000"/>
        <n v="42000"/>
        <n v="48000"/>
        <n v="10000"/>
        <n v="68000"/>
        <n v="96000"/>
        <n v="144000"/>
        <n v="45000"/>
        <n v="33000"/>
        <n v="65000"/>
        <n v="182000"/>
        <n v="20000"/>
        <n v="168000"/>
        <n v="19000"/>
        <n v="39000"/>
        <n v="199000"/>
        <n v="125000"/>
        <n v="246000"/>
        <n v="17000"/>
        <n v="77000"/>
        <n v="38000"/>
        <n v="50000"/>
        <n v="135000"/>
        <n v="56000"/>
        <n v="34000"/>
        <n v="162000"/>
        <n v="92000"/>
        <n v="59000"/>
        <n v="71000"/>
        <n v="76000"/>
        <n v="88000"/>
        <n v="152000"/>
        <n v="21000"/>
        <n v="46000"/>
        <n v="258000"/>
        <n v="99000"/>
        <n v="275000"/>
        <n v="75000"/>
        <n v="29000"/>
        <n v="136000"/>
        <n v="103000"/>
        <n v="60000"/>
        <n v="261000"/>
        <n v="91000"/>
        <n v="114000"/>
        <n v="36000"/>
        <n v="12000"/>
        <n v="83000"/>
        <n v="140000"/>
        <n v="149000"/>
        <n v="41000"/>
        <n v="122000"/>
        <n v="209000"/>
        <n v="105000"/>
        <n v="66000"/>
        <n v="218000"/>
        <n v="49000"/>
        <n v="11000"/>
        <n v="115000"/>
        <n v="89000"/>
        <n v="73000"/>
        <n v="53000"/>
        <n v="52000"/>
        <n v="64000"/>
        <n v="51000"/>
        <n v="95000"/>
        <n v="106000"/>
        <n v="170000"/>
        <n v="130000"/>
        <n v="24000"/>
        <n v="81000"/>
        <n v="82000"/>
        <n v="104000"/>
        <n v="44000"/>
        <n v="78000"/>
        <n v="80000"/>
        <n v="94000"/>
        <n v="107000"/>
        <n v="86000"/>
        <n v="97000"/>
        <n v="7000"/>
        <n v="28000"/>
        <n v="267000"/>
        <n v="174000"/>
        <n v="155000"/>
        <n v="58000"/>
        <n v="169000"/>
        <n v="26000"/>
        <n v="133000"/>
        <n v="32000"/>
        <n v="55000"/>
        <n v="270000"/>
        <n v="61000"/>
        <n v="214000"/>
        <n v="90000"/>
        <n v="13000"/>
        <n v="70000"/>
        <n v="316000"/>
        <n v="158000"/>
        <n v="25000"/>
        <n v="69000"/>
        <n v="300000"/>
        <n v="163000"/>
        <n v="242000"/>
        <n v="128000"/>
        <n v="54000"/>
        <n v="119000"/>
        <n v="319000"/>
        <n v="110000"/>
        <n v="177000"/>
        <n v="151000"/>
        <n v="142000"/>
        <n v="111000"/>
        <n v="35000"/>
        <n v="100000"/>
        <n v="22000"/>
        <n v="173000"/>
        <n v="120000"/>
        <n v="217000"/>
        <n v="93000"/>
        <n v="333000"/>
        <n v="14000"/>
        <n v="192000"/>
        <n v="249000"/>
        <n v="40000"/>
        <n v="312000"/>
        <n v="79000"/>
        <n v="160000"/>
        <n v="118000"/>
        <n v="101000"/>
        <n v="176000"/>
        <n v="62000"/>
        <n v="98000"/>
        <n v="194000"/>
        <n v="340000"/>
        <n v="127000"/>
        <n v="215000"/>
        <n v="57000"/>
        <n v="63000"/>
        <n v="178000"/>
        <n v="167000"/>
        <n v="37000"/>
        <n v="206000"/>
        <n v="268000"/>
        <n v="388000"/>
        <n v="139000"/>
        <n v="213000"/>
        <n v="159000"/>
        <n v="112000"/>
        <n v="74000"/>
        <n v="280000"/>
        <n v="325000"/>
        <n v="203000"/>
        <n v="166000"/>
        <n v="117000"/>
        <n v="137000"/>
        <n v="123000"/>
        <n v="67000"/>
        <n v="171000"/>
        <n v="210000"/>
        <n v="250000"/>
        <n v="227000"/>
        <n v="235000"/>
        <n v="124000"/>
        <n v="138000"/>
        <n v="108000"/>
        <n v="198000"/>
        <n v="195000"/>
        <n v="87000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2">
  <r>
    <n v="1"/>
    <s v="MARARTOLA"/>
    <x v="0"/>
    <s v="Helu Atmaram Pache"/>
    <s v="Atmaram Pache"/>
    <x v="0"/>
    <s v="APL"/>
    <x v="0"/>
    <s v="Yes"/>
    <s v="Yes"/>
    <n v="46"/>
    <x v="0"/>
    <x v="0"/>
    <x v="0"/>
    <x v="0"/>
  </r>
  <r>
    <n v="2"/>
    <s v="INDIRATOLI"/>
    <x v="1"/>
    <s v="Indrakala Zadu Barewar"/>
    <s v="Zadu Borkar"/>
    <x v="1"/>
    <s v="APL"/>
    <x v="0"/>
    <s v="No"/>
    <s v="No"/>
    <n v="28"/>
    <x v="1"/>
    <x v="0"/>
    <x v="1"/>
    <x v="1"/>
  </r>
  <r>
    <n v="3"/>
    <s v="MARARTOLA"/>
    <x v="2"/>
    <s v="Anil Raut"/>
    <s v="Mehtar"/>
    <x v="0"/>
    <s v="APL"/>
    <x v="0"/>
    <s v="Yes"/>
    <s v="Yes"/>
    <n v="55"/>
    <x v="2"/>
    <x v="0"/>
    <x v="0"/>
    <x v="2"/>
  </r>
  <r>
    <n v="4"/>
    <s v="TEDHAVA"/>
    <x v="3"/>
    <s v="Akshay Babulal Bisen"/>
    <s v="Babulal Bisen"/>
    <x v="0"/>
    <s v="APL"/>
    <x v="0"/>
    <s v="No"/>
    <s v="No"/>
    <n v="67"/>
    <x v="3"/>
    <x v="0"/>
    <x v="0"/>
    <x v="3"/>
  </r>
  <r>
    <n v="5"/>
    <s v="MARARTOLA"/>
    <x v="4"/>
    <s v="Ashok Sonwane"/>
    <s v="Laxman"/>
    <x v="0"/>
    <s v="BPL"/>
    <x v="1"/>
    <s v="Yes"/>
    <s v="Yes"/>
    <n v="64"/>
    <x v="4"/>
    <x v="0"/>
    <x v="2"/>
    <x v="4"/>
  </r>
  <r>
    <n v="6"/>
    <s v="TEDHAVA"/>
    <x v="5"/>
    <s v="Asaram Sukaji Turkar"/>
    <s v="Sukaji"/>
    <x v="0"/>
    <s v="APL"/>
    <x v="0"/>
    <s v="Yes"/>
    <s v="Yes"/>
    <n v="69"/>
    <x v="5"/>
    <x v="0"/>
    <x v="0"/>
    <x v="5"/>
  </r>
  <r>
    <n v="7"/>
    <s v="MARARTOLA"/>
    <x v="6"/>
    <s v="Babulal Chambharu Matre"/>
    <s v="Chambharu Matre"/>
    <x v="0"/>
    <s v="APL"/>
    <x v="2"/>
    <s v="No"/>
    <s v="No"/>
    <n v="65"/>
    <x v="6"/>
    <x v="1"/>
    <x v="3"/>
    <x v="6"/>
  </r>
  <r>
    <n v="8"/>
    <s v="TEDHAVA"/>
    <x v="7"/>
    <s v="Bhagavat Parasram Ambadare"/>
    <s v="Parasram"/>
    <x v="0"/>
    <s v="BPL"/>
    <x v="3"/>
    <s v="Yes"/>
    <s v="Yes"/>
    <n v="36"/>
    <x v="7"/>
    <x v="0"/>
    <x v="0"/>
    <x v="7"/>
  </r>
  <r>
    <n v="9"/>
    <s v="MARARTOLA"/>
    <x v="8"/>
    <s v="Babulal Ganesh Nagfase"/>
    <s v="Ganesh Nagfase"/>
    <x v="0"/>
    <s v="APL"/>
    <x v="4"/>
    <s v="No"/>
    <s v="No"/>
    <n v="83"/>
    <x v="8"/>
    <x v="2"/>
    <x v="0"/>
    <x v="8"/>
  </r>
  <r>
    <n v="10"/>
    <s v="TEDHAVA"/>
    <x v="9"/>
    <s v="Bhavesh Kantilal Vegad"/>
    <s v="Kantilal"/>
    <x v="0"/>
    <s v="APL"/>
    <x v="2"/>
    <s v="Yes"/>
    <s v="Yes"/>
    <n v="43"/>
    <x v="6"/>
    <x v="1"/>
    <x v="3"/>
    <x v="6"/>
  </r>
  <r>
    <n v="11"/>
    <s v="MARARTOLA"/>
    <x v="10"/>
    <s v="Badashaha Gorelal Mane"/>
    <s v="Gorelal Mane"/>
    <x v="0"/>
    <s v="APL"/>
    <x v="2"/>
    <s v="Yes"/>
    <s v="Yes"/>
    <n v="70"/>
    <x v="6"/>
    <x v="1"/>
    <x v="3"/>
    <x v="6"/>
  </r>
  <r>
    <n v="12"/>
    <s v="TEDHAVA"/>
    <x v="11"/>
    <s v="Bhivalal Bhika Bisen"/>
    <s v="Bhika"/>
    <x v="0"/>
    <s v="BPL"/>
    <x v="3"/>
    <s v="Yes"/>
    <s v="Yes"/>
    <n v="43"/>
    <x v="9"/>
    <x v="0"/>
    <x v="4"/>
    <x v="9"/>
  </r>
  <r>
    <n v="13"/>
    <s v="MARARTOLA"/>
    <x v="12"/>
    <s v="Baku Dongaru Singandhupe"/>
    <s v="Dongaru Singandhupe"/>
    <x v="0"/>
    <s v="APL"/>
    <x v="0"/>
    <s v="No"/>
    <s v="No"/>
    <n v="77"/>
    <x v="10"/>
    <x v="0"/>
    <x v="1"/>
    <x v="10"/>
  </r>
  <r>
    <n v="14"/>
    <s v="TEDHAVA"/>
    <x v="13"/>
    <s v="Bhuri Sonelal Kahnavat"/>
    <s v="Sonelal"/>
    <x v="1"/>
    <s v="APL"/>
    <x v="5"/>
    <s v="Yes"/>
    <s v="Yes"/>
    <n v="44"/>
    <x v="11"/>
    <x v="0"/>
    <x v="1"/>
    <x v="11"/>
  </r>
  <r>
    <n v="15"/>
    <s v="MARARTOLA"/>
    <x v="14"/>
    <s v="Balaram Maharu Bahe"/>
    <s v="Maharu Bahe"/>
    <x v="0"/>
    <s v="APL"/>
    <x v="2"/>
    <s v="Yes"/>
    <s v="Yes"/>
    <n v="57"/>
    <x v="6"/>
    <x v="1"/>
    <x v="3"/>
    <x v="6"/>
  </r>
  <r>
    <n v="16"/>
    <s v="TEDHAVA"/>
    <x v="15"/>
    <s v="Biru Hagaru Pache"/>
    <s v="Hagaru"/>
    <x v="0"/>
    <s v="APL"/>
    <x v="2"/>
    <s v="Yes"/>
    <s v="Yes"/>
    <n v="29"/>
    <x v="6"/>
    <x v="1"/>
    <x v="3"/>
    <x v="6"/>
  </r>
  <r>
    <n v="17"/>
    <s v="MARARTOLA"/>
    <x v="16"/>
    <s v="Bhajanlal Laxaman Pache"/>
    <s v="Laxaman Pache"/>
    <x v="0"/>
    <s v="APL"/>
    <x v="2"/>
    <s v="No"/>
    <s v="No"/>
    <n v="56"/>
    <x v="6"/>
    <x v="1"/>
    <x v="3"/>
    <x v="6"/>
  </r>
  <r>
    <n v="18"/>
    <s v="TEDHAVA"/>
    <x v="17"/>
    <s v="Bisram Premlal Ambadare"/>
    <s v="Premlal"/>
    <x v="0"/>
    <s v="APL"/>
    <x v="2"/>
    <s v="Yes"/>
    <s v="Yes"/>
    <n v="56"/>
    <x v="6"/>
    <x v="1"/>
    <x v="3"/>
    <x v="6"/>
  </r>
  <r>
    <n v="19"/>
    <s v="MARARTOLA"/>
    <x v="18"/>
    <s v="Bhaulal Chambhu Matre"/>
    <s v="Chambhu Matre"/>
    <x v="0"/>
    <s v="APL"/>
    <x v="2"/>
    <s v="No"/>
    <s v="No"/>
    <n v="27"/>
    <x v="6"/>
    <x v="1"/>
    <x v="3"/>
    <x v="6"/>
  </r>
  <r>
    <n v="20"/>
    <s v="TEDHAVA"/>
    <x v="19"/>
    <s v="Chandulal Bhikka Bisen"/>
    <s v="Bhikka"/>
    <x v="0"/>
    <s v="BPL"/>
    <x v="3"/>
    <s v="Yes"/>
    <s v="Yes"/>
    <n v="31"/>
    <x v="12"/>
    <x v="0"/>
    <x v="0"/>
    <x v="12"/>
  </r>
  <r>
    <n v="21"/>
    <s v="MARARTOLA"/>
    <x v="20"/>
    <s v="Bhojalal Laxaman Pache"/>
    <s v="Laxaman Pache"/>
    <x v="0"/>
    <s v="APL"/>
    <x v="2"/>
    <s v="No"/>
    <s v="No"/>
    <n v="60"/>
    <x v="6"/>
    <x v="1"/>
    <x v="3"/>
    <x v="6"/>
  </r>
  <r>
    <n v="22"/>
    <s v="TEDHAVA"/>
    <x v="21"/>
    <s v="Chautaman Shravan Kolhatkar"/>
    <s v="Shravan"/>
    <x v="0"/>
    <s v="APL"/>
    <x v="2"/>
    <s v="Yes"/>
    <s v="Yes"/>
    <n v="59"/>
    <x v="6"/>
    <x v="1"/>
    <x v="3"/>
    <x v="6"/>
  </r>
  <r>
    <n v="23"/>
    <s v="MARARTOLA"/>
    <x v="22"/>
    <s v="Bhurya Tekalal Mane"/>
    <s v="Tekalal Mane"/>
    <x v="0"/>
    <s v="APL"/>
    <x v="2"/>
    <s v="No"/>
    <s v="No"/>
    <n v="78"/>
    <x v="6"/>
    <x v="1"/>
    <x v="3"/>
    <x v="6"/>
  </r>
  <r>
    <n v="24"/>
    <s v="TEDHAVA"/>
    <x v="23"/>
    <s v="Chhannubai Rekhalal Rane"/>
    <s v="Rekhalal"/>
    <x v="1"/>
    <s v="APL"/>
    <x v="2"/>
    <s v="Yes"/>
    <s v="Yes"/>
    <n v="40"/>
    <x v="6"/>
    <x v="1"/>
    <x v="3"/>
    <x v="6"/>
  </r>
  <r>
    <n v="25"/>
    <s v="MARARTOLA"/>
    <x v="24"/>
    <s v="Biru Hagru Pache"/>
    <s v="Hagru Pache"/>
    <x v="0"/>
    <s v="APL"/>
    <x v="2"/>
    <s v="No"/>
    <s v="No"/>
    <n v="81"/>
    <x v="6"/>
    <x v="1"/>
    <x v="3"/>
    <x v="6"/>
  </r>
  <r>
    <n v="26"/>
    <s v="TEDHAVA"/>
    <x v="25"/>
    <s v="Chhavisakumar Charandas Chaude"/>
    <s v="Pralhad"/>
    <x v="0"/>
    <s v="BPL"/>
    <x v="6"/>
    <s v="Yes"/>
    <s v="Yes"/>
    <n v="47"/>
    <x v="13"/>
    <x v="0"/>
    <x v="0"/>
    <x v="13"/>
  </r>
  <r>
    <n v="27"/>
    <s v="MARARTOLA"/>
    <x v="26"/>
    <s v="Bisan Pache"/>
    <s v="Dasaram"/>
    <x v="0"/>
    <s v="APL"/>
    <x v="2"/>
    <s v="Yes"/>
    <s v="Yes"/>
    <n v="57"/>
    <x v="6"/>
    <x v="1"/>
    <x v="3"/>
    <x v="6"/>
  </r>
  <r>
    <n v="28"/>
    <s v="TEDHAVA"/>
    <x v="27"/>
    <s v="Chintaman Mayaram Bisen"/>
    <s v="Mayaram"/>
    <x v="0"/>
    <s v="APL"/>
    <x v="2"/>
    <s v="Yes"/>
    <s v="Yes"/>
    <n v="61"/>
    <x v="6"/>
    <x v="1"/>
    <x v="3"/>
    <x v="6"/>
  </r>
  <r>
    <n v="29"/>
    <s v="MARARTOLA"/>
    <x v="28"/>
    <s v="Bisan Dasaram Pache"/>
    <s v="Dasaram Pache"/>
    <x v="0"/>
    <s v="APL"/>
    <x v="2"/>
    <s v="No"/>
    <s v="No"/>
    <n v="78"/>
    <x v="6"/>
    <x v="1"/>
    <x v="3"/>
    <x v="6"/>
  </r>
  <r>
    <n v="30"/>
    <s v="TEDHAVA"/>
    <x v="29"/>
    <s v="Chunnilal Gautam Meshram"/>
    <s v="Gautam"/>
    <x v="0"/>
    <s v="BPL"/>
    <x v="3"/>
    <s v="Yes"/>
    <s v="No"/>
    <n v="36"/>
    <x v="14"/>
    <x v="0"/>
    <x v="0"/>
    <x v="12"/>
  </r>
  <r>
    <n v="31"/>
    <s v="MARARTOLA"/>
    <x v="30"/>
    <s v="Brijlal Bisen"/>
    <s v="Bandu"/>
    <x v="0"/>
    <s v="APL"/>
    <x v="0"/>
    <s v="Yes"/>
    <s v="Yes"/>
    <n v="55"/>
    <x v="15"/>
    <x v="2"/>
    <x v="0"/>
    <x v="14"/>
  </r>
  <r>
    <n v="32"/>
    <s v="TEDHAVA"/>
    <x v="31"/>
    <s v="Chunnilal Anantram Turkar"/>
    <s v="Anantram"/>
    <x v="0"/>
    <s v="BPL"/>
    <x v="3"/>
    <s v="Yes"/>
    <s v="Yes"/>
    <n v="33"/>
    <x v="16"/>
    <x v="0"/>
    <x v="0"/>
    <x v="15"/>
  </r>
  <r>
    <n v="33"/>
    <s v="MARARTOLA"/>
    <x v="32"/>
    <s v="Chabilal Dhuware"/>
    <s v="Premlal"/>
    <x v="0"/>
    <s v="APL"/>
    <x v="0"/>
    <s v="Yes"/>
    <s v="Yes"/>
    <n v="66"/>
    <x v="17"/>
    <x v="0"/>
    <x v="4"/>
    <x v="16"/>
  </r>
  <r>
    <n v="34"/>
    <s v="TEDHAVA"/>
    <x v="33"/>
    <s v="Debilal Bhaulal Rahangadale"/>
    <s v="Surajlal"/>
    <x v="0"/>
    <s v="APL"/>
    <x v="0"/>
    <s v="Yes"/>
    <s v="Yes"/>
    <n v="35"/>
    <x v="18"/>
    <x v="0"/>
    <x v="5"/>
    <x v="17"/>
  </r>
  <r>
    <n v="35"/>
    <s v="MARARTOLA"/>
    <x v="34"/>
    <s v="Chambharu Matre"/>
    <s v="Fakira"/>
    <x v="0"/>
    <s v="APL"/>
    <x v="2"/>
    <s v="Yes"/>
    <s v="Yes"/>
    <n v="63"/>
    <x v="6"/>
    <x v="1"/>
    <x v="3"/>
    <x v="6"/>
  </r>
  <r>
    <n v="36"/>
    <s v="TEDHAVA"/>
    <x v="35"/>
    <s v="Devaram Asaram Bisen"/>
    <s v="Asaram"/>
    <x v="0"/>
    <s v="APL"/>
    <x v="2"/>
    <s v="Yes"/>
    <s v="Yes"/>
    <n v="39"/>
    <x v="6"/>
    <x v="1"/>
    <x v="3"/>
    <x v="6"/>
  </r>
  <r>
    <n v="37"/>
    <s v="MARARTOLA"/>
    <x v="36"/>
    <s v="Chambharu Baipar Singndhupe"/>
    <s v="Baipar Singndhupe"/>
    <x v="0"/>
    <s v="APL"/>
    <x v="0"/>
    <s v="No"/>
    <s v="No"/>
    <n v="46"/>
    <x v="19"/>
    <x v="3"/>
    <x v="6"/>
    <x v="18"/>
  </r>
  <r>
    <n v="38"/>
    <s v="TEDHAVA"/>
    <x v="37"/>
    <s v="Devlal Dulichand Patle"/>
    <s v="Dulichand"/>
    <x v="0"/>
    <s v="APL"/>
    <x v="2"/>
    <s v="Yes"/>
    <s v="Yes"/>
    <n v="67"/>
    <x v="6"/>
    <x v="1"/>
    <x v="3"/>
    <x v="6"/>
  </r>
  <r>
    <n v="39"/>
    <s v="MARARTOLA"/>
    <x v="38"/>
    <s v="Chunnilal Bhoyar"/>
    <s v="Dhodu"/>
    <x v="0"/>
    <s v="BPL"/>
    <x v="1"/>
    <s v="Yes"/>
    <s v="Yes"/>
    <n v="60"/>
    <x v="20"/>
    <x v="0"/>
    <x v="4"/>
    <x v="19"/>
  </r>
  <r>
    <n v="40"/>
    <s v="TEDHAVA"/>
    <x v="39"/>
    <s v="Dhaniram Bhaulal Matre"/>
    <s v="Bhaulal"/>
    <x v="0"/>
    <s v="APL"/>
    <x v="2"/>
    <s v="Yes"/>
    <s v="Yes"/>
    <n v="75"/>
    <x v="6"/>
    <x v="1"/>
    <x v="3"/>
    <x v="6"/>
  </r>
  <r>
    <n v="41"/>
    <s v="MARARTOLA"/>
    <x v="40"/>
    <s v="Dasrath Matre"/>
    <s v="Narayan"/>
    <x v="0"/>
    <s v="APL"/>
    <x v="2"/>
    <s v="Yes"/>
    <s v="Yes"/>
    <n v="70"/>
    <x v="6"/>
    <x v="1"/>
    <x v="3"/>
    <x v="6"/>
  </r>
  <r>
    <n v="42"/>
    <s v="TEDHAVA"/>
    <x v="41"/>
    <s v="Dinesh Babulal Bisen"/>
    <s v="Babulal"/>
    <x v="0"/>
    <s v="APL"/>
    <x v="0"/>
    <s v="Yes"/>
    <s v="Yes"/>
    <n v="29"/>
    <x v="21"/>
    <x v="0"/>
    <x v="0"/>
    <x v="20"/>
  </r>
  <r>
    <n v="43"/>
    <s v="MARARTOLA"/>
    <x v="42"/>
    <s v="Dasru Magru Pache"/>
    <s v="Magru Pache"/>
    <x v="0"/>
    <s v="APL"/>
    <x v="0"/>
    <s v="No"/>
    <s v="No"/>
    <n v="60"/>
    <x v="22"/>
    <x v="3"/>
    <x v="0"/>
    <x v="21"/>
  </r>
  <r>
    <n v="44"/>
    <s v="TEDHAVA"/>
    <x v="43"/>
    <s v="Endeshwari Kailash Raut"/>
    <s v="Kailash"/>
    <x v="1"/>
    <s v="APL"/>
    <x v="5"/>
    <s v="No"/>
    <s v="No"/>
    <n v="82"/>
    <x v="14"/>
    <x v="2"/>
    <x v="0"/>
    <x v="22"/>
  </r>
  <r>
    <n v="45"/>
    <s v="MARARTOLA"/>
    <x v="44"/>
    <s v="Dhannalal Isulal Matre"/>
    <s v="Isulal Matre"/>
    <x v="0"/>
    <s v="APL"/>
    <x v="2"/>
    <s v="Yes"/>
    <s v="Yes"/>
    <n v="74"/>
    <x v="6"/>
    <x v="1"/>
    <x v="3"/>
    <x v="6"/>
  </r>
  <r>
    <n v="46"/>
    <s v="TEDHAVA"/>
    <x v="45"/>
    <s v="Fagulal Ramlal Nagfase"/>
    <s v="Ramlal"/>
    <x v="0"/>
    <s v="APL"/>
    <x v="2"/>
    <s v="Yes"/>
    <s v="Yes"/>
    <n v="59"/>
    <x v="6"/>
    <x v="1"/>
    <x v="3"/>
    <x v="6"/>
  </r>
  <r>
    <n v="47"/>
    <s v="MARARTOLA"/>
    <x v="46"/>
    <s v="Dryasav Bijewar"/>
    <s v="Rajaram"/>
    <x v="0"/>
    <s v="APL"/>
    <x v="0"/>
    <s v="Yes"/>
    <s v="Yes"/>
    <n v="53"/>
    <x v="23"/>
    <x v="0"/>
    <x v="4"/>
    <x v="23"/>
  </r>
  <r>
    <n v="48"/>
    <s v="TEDHAVA"/>
    <x v="47"/>
    <s v="Fatulal Raman Bisen"/>
    <s v="Raman"/>
    <x v="0"/>
    <s v="BPL"/>
    <x v="3"/>
    <s v="Yes"/>
    <s v="Yes"/>
    <n v="70"/>
    <x v="24"/>
    <x v="0"/>
    <x v="5"/>
    <x v="2"/>
  </r>
  <r>
    <n v="49"/>
    <s v="MARARTOLA"/>
    <x v="48"/>
    <s v="Dulichand Dongaru Singandhupe"/>
    <s v="Dongaru Singandhupe"/>
    <x v="0"/>
    <s v="APL"/>
    <x v="0"/>
    <s v="No"/>
    <s v="No"/>
    <n v="28"/>
    <x v="25"/>
    <x v="3"/>
    <x v="6"/>
    <x v="24"/>
  </r>
  <r>
    <n v="50"/>
    <s v="TEDHAVA"/>
    <x v="49"/>
    <s v="Firatu Chandu Pache"/>
    <s v="Chandu"/>
    <x v="0"/>
    <s v="APL"/>
    <x v="0"/>
    <s v="Yes"/>
    <s v="Yes"/>
    <n v="42"/>
    <x v="26"/>
    <x v="3"/>
    <x v="1"/>
    <x v="25"/>
  </r>
  <r>
    <n v="51"/>
    <s v="MARARTOLA"/>
    <x v="50"/>
    <s v="Fekan Chambharu Bahe"/>
    <s v="Chambharu Bahe"/>
    <x v="0"/>
    <s v="APL"/>
    <x v="2"/>
    <s v="No"/>
    <s v="No"/>
    <n v="62"/>
    <x v="6"/>
    <x v="1"/>
    <x v="3"/>
    <x v="6"/>
  </r>
  <r>
    <n v="52"/>
    <s v="TEDHAVA"/>
    <x v="51"/>
    <s v="Ganesh Puranlal Neware"/>
    <s v="Puranlal"/>
    <x v="0"/>
    <s v="APL"/>
    <x v="2"/>
    <s v="Yes"/>
    <s v="Yes"/>
    <n v="40"/>
    <x v="6"/>
    <x v="1"/>
    <x v="3"/>
    <x v="6"/>
  </r>
  <r>
    <n v="53"/>
    <s v="MARARTOLA"/>
    <x v="52"/>
    <s v="Firtu Chandu Pache"/>
    <s v="Chandu Pache"/>
    <x v="0"/>
    <s v="APL"/>
    <x v="2"/>
    <s v="No"/>
    <s v="No"/>
    <n v="37"/>
    <x v="6"/>
    <x v="1"/>
    <x v="3"/>
    <x v="6"/>
  </r>
  <r>
    <n v="54"/>
    <s v="TEDHAVA"/>
    <x v="53"/>
    <s v="Gangabai Ranglal Mane"/>
    <s v="Rangla"/>
    <x v="1"/>
    <s v="APL"/>
    <x v="5"/>
    <s v="Yes"/>
    <s v="Yes"/>
    <n v="31"/>
    <x v="27"/>
    <x v="0"/>
    <x v="0"/>
    <x v="26"/>
  </r>
  <r>
    <n v="55"/>
    <s v="MARARTOLA"/>
    <x v="54"/>
    <s v="Fulichand Pandu Matre"/>
    <s v="Pandu Matre"/>
    <x v="0"/>
    <s v="APL"/>
    <x v="2"/>
    <s v="Yes"/>
    <s v="Yes"/>
    <n v="69"/>
    <x v="6"/>
    <x v="1"/>
    <x v="3"/>
    <x v="6"/>
  </r>
  <r>
    <n v="56"/>
    <s v="TEDHAVA"/>
    <x v="55"/>
    <s v="Gangaram Radhelal Bisen"/>
    <s v="Radhelal"/>
    <x v="0"/>
    <s v="APL"/>
    <x v="0"/>
    <s v="Yes"/>
    <s v="Yes"/>
    <n v="77"/>
    <x v="28"/>
    <x v="0"/>
    <x v="0"/>
    <x v="19"/>
  </r>
  <r>
    <n v="57"/>
    <s v="MARARTOLA"/>
    <x v="56"/>
    <s v="Ganesh Karu Matre"/>
    <s v="Karu Matre"/>
    <x v="0"/>
    <s v="APL"/>
    <x v="0"/>
    <s v="No"/>
    <s v="No"/>
    <n v="33"/>
    <x v="29"/>
    <x v="0"/>
    <x v="0"/>
    <x v="27"/>
  </r>
  <r>
    <n v="58"/>
    <s v="TEDHAVA"/>
    <x v="57"/>
    <s v="Gendlal Karu Matre"/>
    <s v="Karu"/>
    <x v="0"/>
    <s v="APL"/>
    <x v="2"/>
    <s v="Yes"/>
    <s v="Yes"/>
    <n v="40"/>
    <x v="6"/>
    <x v="1"/>
    <x v="3"/>
    <x v="6"/>
  </r>
  <r>
    <n v="59"/>
    <s v="MARARTOLA"/>
    <x v="58"/>
    <s v="Gehu Karu Matre"/>
    <s v="Karu Matre"/>
    <x v="0"/>
    <s v="APL"/>
    <x v="0"/>
    <s v="No"/>
    <s v="No"/>
    <n v="48"/>
    <x v="30"/>
    <x v="0"/>
    <x v="5"/>
    <x v="28"/>
  </r>
  <r>
    <n v="60"/>
    <s v="TEDHAVA"/>
    <x v="59"/>
    <s v="Ghanshyam Chandu Pache"/>
    <s v="Chandu"/>
    <x v="0"/>
    <s v="BPL"/>
    <x v="3"/>
    <s v="Yes"/>
    <s v="No"/>
    <n v="50"/>
    <x v="31"/>
    <x v="0"/>
    <x v="2"/>
    <x v="29"/>
  </r>
  <r>
    <n v="61"/>
    <s v="MARARTOLA"/>
    <x v="60"/>
    <s v="Gendalal Umed Matre"/>
    <s v="Umed Matre"/>
    <x v="0"/>
    <s v="APL"/>
    <x v="2"/>
    <s v="Yes"/>
    <s v="Yes"/>
    <n v="45"/>
    <x v="6"/>
    <x v="1"/>
    <x v="3"/>
    <x v="6"/>
  </r>
  <r>
    <n v="62"/>
    <s v="TEDHAVA"/>
    <x v="61"/>
    <s v="Gulchand Hajari Sigandhupe"/>
    <s v="Hajari"/>
    <x v="0"/>
    <s v="APL"/>
    <x v="2"/>
    <s v="Yes"/>
    <s v="Yes"/>
    <n v="68"/>
    <x v="6"/>
    <x v="1"/>
    <x v="3"/>
    <x v="6"/>
  </r>
  <r>
    <n v="63"/>
    <s v="MARARTOLA"/>
    <x v="62"/>
    <s v="Ghansilal Chandu Pache"/>
    <s v="Chandu Pache"/>
    <x v="0"/>
    <s v="APL"/>
    <x v="0"/>
    <s v="No"/>
    <s v="No"/>
    <n v="81"/>
    <x v="32"/>
    <x v="0"/>
    <x v="0"/>
    <x v="30"/>
  </r>
  <r>
    <n v="64"/>
    <s v="TEDHAVA"/>
    <x v="63"/>
    <s v="Hiralal Jagalal Matare"/>
    <s v="Jagalal"/>
    <x v="0"/>
    <s v="BPL"/>
    <x v="3"/>
    <s v="Yes"/>
    <s v="No"/>
    <n v="56"/>
    <x v="33"/>
    <x v="3"/>
    <x v="0"/>
    <x v="15"/>
  </r>
  <r>
    <n v="65"/>
    <s v="MARARTOLA"/>
    <x v="64"/>
    <s v="Govind Baiga Matre"/>
    <s v="Baiga Matre"/>
    <x v="0"/>
    <s v="APL"/>
    <x v="2"/>
    <s v="Yes"/>
    <s v="Yes"/>
    <n v="58"/>
    <x v="6"/>
    <x v="1"/>
    <x v="3"/>
    <x v="6"/>
  </r>
  <r>
    <n v="66"/>
    <s v="TEDHAVA"/>
    <x v="65"/>
    <s v="Hirawanta Shankar Meshram"/>
    <s v="Shankar"/>
    <x v="1"/>
    <s v="BPL"/>
    <x v="6"/>
    <s v="Yes"/>
    <s v="Yes"/>
    <n v="46"/>
    <x v="34"/>
    <x v="0"/>
    <x v="0"/>
    <x v="31"/>
  </r>
  <r>
    <n v="67"/>
    <s v="MARARTOLA"/>
    <x v="66"/>
    <s v="Guniiram Hanas Nagfase"/>
    <s v="Hanas Nagfase"/>
    <x v="0"/>
    <s v="APL"/>
    <x v="2"/>
    <s v="Yes"/>
    <s v="Yes"/>
    <n v="72"/>
    <x v="6"/>
    <x v="1"/>
    <x v="3"/>
    <x v="6"/>
  </r>
  <r>
    <n v="68"/>
    <s v="TEDHAVA"/>
    <x v="67"/>
    <s v="Hupendranath Pritilal Turkar"/>
    <s v="Pritilal"/>
    <x v="0"/>
    <s v="BPL"/>
    <x v="3"/>
    <s v="Yes"/>
    <s v="Yes"/>
    <n v="31"/>
    <x v="35"/>
    <x v="0"/>
    <x v="7"/>
    <x v="32"/>
  </r>
  <r>
    <n v="69"/>
    <s v="MARARTOLA"/>
    <x v="68"/>
    <s v="Guru Lakhan Matre"/>
    <s v="Lakhan Matre"/>
    <x v="0"/>
    <s v="APL"/>
    <x v="2"/>
    <s v="Yes"/>
    <s v="Yes"/>
    <n v="62"/>
    <x v="6"/>
    <x v="1"/>
    <x v="3"/>
    <x v="6"/>
  </r>
  <r>
    <n v="70"/>
    <s v="TEDHAVA"/>
    <x v="69"/>
    <s v="Imala Bhumeshwar Turkar"/>
    <s v="Bhumeshwar"/>
    <x v="1"/>
    <s v="BPL"/>
    <x v="3"/>
    <s v="Yes"/>
    <s v="Yes"/>
    <n v="68"/>
    <x v="36"/>
    <x v="0"/>
    <x v="7"/>
    <x v="18"/>
  </r>
  <r>
    <n v="71"/>
    <s v="MARARTOLA"/>
    <x v="70"/>
    <s v="Hansabai Chouhan"/>
    <s v="Prakash"/>
    <x v="0"/>
    <s v="APL"/>
    <x v="0"/>
    <s v="Yes"/>
    <s v="Yes"/>
    <n v="36"/>
    <x v="37"/>
    <x v="0"/>
    <x v="0"/>
    <x v="33"/>
  </r>
  <r>
    <n v="72"/>
    <s v="TEDHAVA"/>
    <x v="71"/>
    <s v="Indalkumar Hivaraj Kasamgotre"/>
    <s v="Omkar"/>
    <x v="0"/>
    <s v="APL"/>
    <x v="2"/>
    <s v="Yes"/>
    <s v="Yes"/>
    <n v="53"/>
    <x v="6"/>
    <x v="1"/>
    <x v="3"/>
    <x v="6"/>
  </r>
  <r>
    <n v="73"/>
    <s v="MARARTOLA"/>
    <x v="72"/>
    <s v="Hansu Maroti Nagfase"/>
    <s v="Maroti Nagfase"/>
    <x v="0"/>
    <s v="APL"/>
    <x v="4"/>
    <s v="No"/>
    <s v="No"/>
    <n v="66"/>
    <x v="38"/>
    <x v="0"/>
    <x v="0"/>
    <x v="2"/>
  </r>
  <r>
    <n v="74"/>
    <s v="TEDHAVA"/>
    <x v="73"/>
    <s v="Intabai Santosh Meshram"/>
    <s v="Santosh"/>
    <x v="1"/>
    <s v="APL"/>
    <x v="1"/>
    <s v="Yes"/>
    <s v="Yes"/>
    <n v="55"/>
    <x v="39"/>
    <x v="0"/>
    <x v="1"/>
    <x v="34"/>
  </r>
  <r>
    <n v="75"/>
    <s v="MARARTOLA"/>
    <x v="74"/>
    <s v="Harichand Turkar"/>
    <s v="Lakharam"/>
    <x v="0"/>
    <s v="APL"/>
    <x v="2"/>
    <s v="Yes"/>
    <s v="Yes"/>
    <n v="81"/>
    <x v="6"/>
    <x v="1"/>
    <x v="3"/>
    <x v="6"/>
  </r>
  <r>
    <n v="76"/>
    <s v="TEDHAVA"/>
    <x v="75"/>
    <s v="Jayesh Kantilal Vegad"/>
    <s v="Kantilal"/>
    <x v="0"/>
    <s v="APL"/>
    <x v="2"/>
    <s v="Yes"/>
    <s v="Yes"/>
    <n v="40"/>
    <x v="6"/>
    <x v="1"/>
    <x v="3"/>
    <x v="6"/>
  </r>
  <r>
    <n v="77"/>
    <s v="MARARTOLA"/>
    <x v="76"/>
    <s v="Hiralal Bahe"/>
    <s v="Maharu"/>
    <x v="0"/>
    <s v="APL"/>
    <x v="2"/>
    <s v="Yes"/>
    <s v="Yes"/>
    <n v="69"/>
    <x v="6"/>
    <x v="1"/>
    <x v="3"/>
    <x v="6"/>
  </r>
  <r>
    <n v="78"/>
    <s v="TEDHAVA"/>
    <x v="77"/>
    <s v="Jivan Udkud Matre"/>
    <s v="Udkud"/>
    <x v="0"/>
    <s v="APL"/>
    <x v="2"/>
    <s v="Yes"/>
    <s v="Yes"/>
    <n v="37"/>
    <x v="6"/>
    <x v="1"/>
    <x v="3"/>
    <x v="6"/>
  </r>
  <r>
    <n v="79"/>
    <s v="MARARTOLA"/>
    <x v="78"/>
    <s v="Imalalbai Shobelal Kainawat"/>
    <s v="Shobelal Kainawat"/>
    <x v="1"/>
    <s v="APL"/>
    <x v="2"/>
    <s v="No"/>
    <s v="No"/>
    <n v="57"/>
    <x v="6"/>
    <x v="1"/>
    <x v="3"/>
    <x v="6"/>
  </r>
  <r>
    <n v="80"/>
    <s v="TEDHAVA"/>
    <x v="79"/>
    <s v="Kamlesh Rekhalal Kolhatkar"/>
    <s v="Rekhalal"/>
    <x v="0"/>
    <s v="APL"/>
    <x v="6"/>
    <s v="Yes"/>
    <s v="Yes"/>
    <n v="59"/>
    <x v="40"/>
    <x v="0"/>
    <x v="8"/>
    <x v="12"/>
  </r>
  <r>
    <n v="81"/>
    <s v="MARARTOLA"/>
    <x v="80"/>
    <s v="Indal Gajan Meshram"/>
    <s v="Gajan Meshram"/>
    <x v="0"/>
    <s v="APL"/>
    <x v="2"/>
    <s v="Yes"/>
    <s v="Yes"/>
    <n v="72"/>
    <x v="6"/>
    <x v="1"/>
    <x v="3"/>
    <x v="6"/>
  </r>
  <r>
    <n v="82"/>
    <s v="TEDHAVA"/>
    <x v="81"/>
    <s v="Karulal Tiju Mane"/>
    <s v="Tiju"/>
    <x v="0"/>
    <s v="APL"/>
    <x v="2"/>
    <s v="Yes"/>
    <s v="Yes"/>
    <n v="42"/>
    <x v="6"/>
    <x v="1"/>
    <x v="3"/>
    <x v="6"/>
  </r>
  <r>
    <n v="83"/>
    <s v="MARARTOLA"/>
    <x v="82"/>
    <s v="Jaggu Bhaiyalal Dadare"/>
    <s v="Bhaiyalal Dadare"/>
    <x v="0"/>
    <s v="APL"/>
    <x v="2"/>
    <s v="No"/>
    <s v="No"/>
    <n v="64"/>
    <x v="6"/>
    <x v="1"/>
    <x v="3"/>
    <x v="6"/>
  </r>
  <r>
    <n v="84"/>
    <s v="TEDHAVA"/>
    <x v="83"/>
    <s v="Kausanbai B.M.Turkar"/>
    <s v="B.M."/>
    <x v="0"/>
    <s v="BPL"/>
    <x v="3"/>
    <s v="Yes"/>
    <s v="Yes"/>
    <n v="52"/>
    <x v="27"/>
    <x v="2"/>
    <x v="0"/>
    <x v="10"/>
  </r>
  <r>
    <n v="85"/>
    <s v="MARARTOLA"/>
    <x v="84"/>
    <s v="Jivan Urkuda Matre"/>
    <s v="Urkuda Matre"/>
    <x v="0"/>
    <s v="APL"/>
    <x v="2"/>
    <s v="Yes"/>
    <s v="Yes"/>
    <n v="67"/>
    <x v="6"/>
    <x v="1"/>
    <x v="3"/>
    <x v="6"/>
  </r>
  <r>
    <n v="86"/>
    <s v="TEDHAVA"/>
    <x v="85"/>
    <s v="Khurmilal Tejlal Turkar"/>
    <s v="Tejlal"/>
    <x v="0"/>
    <s v="APL"/>
    <x v="0"/>
    <s v="Yes"/>
    <s v="Yes"/>
    <n v="61"/>
    <x v="41"/>
    <x v="0"/>
    <x v="0"/>
    <x v="35"/>
  </r>
  <r>
    <n v="87"/>
    <s v="MARARTOLA"/>
    <x v="86"/>
    <s v="Kaihni Mairaji Matre"/>
    <s v="Mairaji Matre"/>
    <x v="0"/>
    <s v="APL"/>
    <x v="2"/>
    <s v="Yes"/>
    <s v="Yes"/>
    <n v="32"/>
    <x v="6"/>
    <x v="1"/>
    <x v="3"/>
    <x v="6"/>
  </r>
  <r>
    <n v="88"/>
    <s v="TEDHAVA"/>
    <x v="87"/>
    <s v="Khushilal Shyamlal Dudhabawane"/>
    <s v="Shyamlal"/>
    <x v="0"/>
    <s v="BPL"/>
    <x v="3"/>
    <s v="Yes"/>
    <s v="Yes"/>
    <n v="68"/>
    <x v="38"/>
    <x v="0"/>
    <x v="2"/>
    <x v="36"/>
  </r>
  <r>
    <n v="89"/>
    <s v="MARARTOLA"/>
    <x v="88"/>
    <s v="Kamaus Munnalal Mane"/>
    <s v="Munnalal Mane"/>
    <x v="0"/>
    <s v="APL"/>
    <x v="2"/>
    <s v="No"/>
    <s v="No"/>
    <n v="47"/>
    <x v="6"/>
    <x v="1"/>
    <x v="3"/>
    <x v="6"/>
  </r>
  <r>
    <n v="90"/>
    <s v="TEDHAVA"/>
    <x v="89"/>
    <s v="Kisanlal Urkuda Matre"/>
    <s v="Urkuda"/>
    <x v="0"/>
    <s v="APL"/>
    <x v="2"/>
    <s v="Yes"/>
    <s v="Yes"/>
    <n v="60"/>
    <x v="6"/>
    <x v="1"/>
    <x v="3"/>
    <x v="6"/>
  </r>
  <r>
    <n v="91"/>
    <s v="MARARTOLA"/>
    <x v="90"/>
    <s v="Karu Malu Mane"/>
    <s v="Malu Mane"/>
    <x v="0"/>
    <s v="APL"/>
    <x v="2"/>
    <s v="No"/>
    <s v="No"/>
    <n v="74"/>
    <x v="6"/>
    <x v="1"/>
    <x v="3"/>
    <x v="6"/>
  </r>
  <r>
    <n v="92"/>
    <s v="TEDHAVA"/>
    <x v="91"/>
    <s v="Kishor Rukan Ambadare"/>
    <s v="Rukan"/>
    <x v="0"/>
    <s v="BPL"/>
    <x v="3"/>
    <s v="No"/>
    <s v="No"/>
    <n v="78"/>
    <x v="42"/>
    <x v="3"/>
    <x v="1"/>
    <x v="18"/>
  </r>
  <r>
    <n v="93"/>
    <s v="MARARTOLA"/>
    <x v="92"/>
    <s v="Kisan Dasaram Pache"/>
    <s v="Dasaram Pache"/>
    <x v="0"/>
    <s v="APL"/>
    <x v="2"/>
    <s v="No"/>
    <s v="No"/>
    <n v="56"/>
    <x v="6"/>
    <x v="1"/>
    <x v="3"/>
    <x v="6"/>
  </r>
  <r>
    <n v="94"/>
    <s v="TEDHAVA"/>
    <x v="93"/>
    <s v="Komal Shalikram Turkar"/>
    <s v="Shalikram"/>
    <x v="0"/>
    <s v="APL"/>
    <x v="0"/>
    <s v="Yes"/>
    <s v="Yes"/>
    <n v="74"/>
    <x v="43"/>
    <x v="0"/>
    <x v="0"/>
    <x v="37"/>
  </r>
  <r>
    <n v="95"/>
    <s v="MARARTOLA"/>
    <x v="94"/>
    <s v="Kisan Muka Matre"/>
    <s v="Muka Matre"/>
    <x v="0"/>
    <s v="APL"/>
    <x v="2"/>
    <s v="No"/>
    <s v="No"/>
    <n v="66"/>
    <x v="6"/>
    <x v="1"/>
    <x v="3"/>
    <x v="6"/>
  </r>
  <r>
    <n v="96"/>
    <s v="TEDHAVA"/>
    <x v="95"/>
    <s v="Krushna Chautman Kolhatkar"/>
    <s v="Chautman"/>
    <x v="0"/>
    <s v="BPL"/>
    <x v="6"/>
    <s v="Yes"/>
    <s v="Yes"/>
    <n v="45"/>
    <x v="44"/>
    <x v="0"/>
    <x v="4"/>
    <x v="36"/>
  </r>
  <r>
    <n v="97"/>
    <s v="MARARTOLA"/>
    <x v="96"/>
    <s v="Koutikabai Gajbhiye"/>
    <s v="Prakash"/>
    <x v="1"/>
    <s v="APL"/>
    <x v="0"/>
    <s v="Yes"/>
    <s v="Yes"/>
    <n v="77"/>
    <x v="26"/>
    <x v="0"/>
    <x v="2"/>
    <x v="38"/>
  </r>
  <r>
    <n v="98"/>
    <s v="TEDHAVA"/>
    <x v="97"/>
    <s v="Lakhan Naval Matre"/>
    <s v="Naval"/>
    <x v="0"/>
    <s v="APL"/>
    <x v="2"/>
    <s v="Yes"/>
    <s v="Yes"/>
    <n v="46"/>
    <x v="6"/>
    <x v="1"/>
    <x v="3"/>
    <x v="6"/>
  </r>
  <r>
    <n v="99"/>
    <s v="MARARTOLA"/>
    <x v="98"/>
    <s v="Kumar Baipar Singandhupe"/>
    <s v="Baipar Singandhupe"/>
    <x v="0"/>
    <s v="APL"/>
    <x v="2"/>
    <s v="No"/>
    <s v="No"/>
    <n v="60"/>
    <x v="6"/>
    <x v="1"/>
    <x v="3"/>
    <x v="6"/>
  </r>
  <r>
    <n v="100"/>
    <s v="TEDHAVA"/>
    <x v="99"/>
    <s v="Laxmichand Gendlal Matare"/>
    <s v="Gendlal"/>
    <x v="0"/>
    <s v="BPL"/>
    <x v="3"/>
    <s v="Yes"/>
    <s v="Yes"/>
    <n v="44"/>
    <x v="45"/>
    <x v="0"/>
    <x v="0"/>
    <x v="7"/>
  </r>
  <r>
    <n v="101"/>
    <s v="MARARTOLA"/>
    <x v="100"/>
    <s v="Lakhan Sadu Matre"/>
    <s v="Sadu Matre"/>
    <x v="0"/>
    <s v="APL"/>
    <x v="0"/>
    <s v="No"/>
    <s v="No"/>
    <n v="67"/>
    <x v="46"/>
    <x v="0"/>
    <x v="1"/>
    <x v="26"/>
  </r>
  <r>
    <n v="102"/>
    <s v="TEDHAVA"/>
    <x v="101"/>
    <s v="Laxmiman Baggu Bhoyar"/>
    <s v="Baggu"/>
    <x v="0"/>
    <s v="BPL"/>
    <x v="3"/>
    <s v="Yes"/>
    <s v="Yes"/>
    <n v="40"/>
    <x v="47"/>
    <x v="0"/>
    <x v="5"/>
    <x v="39"/>
  </r>
  <r>
    <n v="103"/>
    <s v="MARARTOLA"/>
    <x v="102"/>
    <s v="Likhiram Dhondu Bhoyar"/>
    <s v="Dhondu Bhoyar"/>
    <x v="0"/>
    <s v="BPL"/>
    <x v="1"/>
    <s v="Yes"/>
    <s v="Yes"/>
    <n v="70"/>
    <x v="33"/>
    <x v="0"/>
    <x v="1"/>
    <x v="21"/>
  </r>
  <r>
    <n v="104"/>
    <s v="TEDHAVA"/>
    <x v="103"/>
    <s v="Mahesh Babulal Bisen"/>
    <s v="Babulal"/>
    <x v="0"/>
    <s v="APL"/>
    <x v="2"/>
    <s v="Yes"/>
    <s v="Yes"/>
    <n v="47"/>
    <x v="6"/>
    <x v="1"/>
    <x v="3"/>
    <x v="6"/>
  </r>
  <r>
    <n v="105"/>
    <s v="MARARTOLA"/>
    <x v="104"/>
    <s v="Magru Haru Pache"/>
    <s v="Haru Pache"/>
    <x v="0"/>
    <s v="APL"/>
    <x v="2"/>
    <s v="No"/>
    <s v="No"/>
    <n v="71"/>
    <x v="6"/>
    <x v="1"/>
    <x v="3"/>
    <x v="6"/>
  </r>
  <r>
    <n v="106"/>
    <s v="TEDHAVA"/>
    <x v="105"/>
    <s v="Mahesh Fatulal Bisen"/>
    <s v="Fatulal"/>
    <x v="0"/>
    <s v="APL"/>
    <x v="0"/>
    <s v="Yes"/>
    <s v="Yes"/>
    <n v="35"/>
    <x v="48"/>
    <x v="0"/>
    <x v="0"/>
    <x v="40"/>
  </r>
  <r>
    <n v="107"/>
    <s v="MARARTOLA"/>
    <x v="106"/>
    <s v="Maharu Bhandari Pache"/>
    <s v="Bhandari Pache"/>
    <x v="0"/>
    <s v="APL"/>
    <x v="4"/>
    <s v="No"/>
    <s v="No"/>
    <n v="51"/>
    <x v="49"/>
    <x v="0"/>
    <x v="0"/>
    <x v="41"/>
  </r>
  <r>
    <n v="108"/>
    <s v="TEDHAVA"/>
    <x v="107"/>
    <s v="Maniklal Bholaram Bisen"/>
    <s v="Bholaram"/>
    <x v="0"/>
    <s v="BPL"/>
    <x v="3"/>
    <s v="Yes"/>
    <s v="Yes"/>
    <n v="41"/>
    <x v="50"/>
    <x v="0"/>
    <x v="1"/>
    <x v="42"/>
  </r>
  <r>
    <n v="109"/>
    <s v="MARARTOLA"/>
    <x v="108"/>
    <s v="Mandas Fatte Matre"/>
    <s v="Fatte Matre"/>
    <x v="0"/>
    <s v="APL"/>
    <x v="2"/>
    <s v="No"/>
    <s v="No"/>
    <n v="71"/>
    <x v="6"/>
    <x v="1"/>
    <x v="3"/>
    <x v="6"/>
  </r>
  <r>
    <n v="110"/>
    <s v="TEDHAVA"/>
    <x v="109"/>
    <s v="Maniklal Fagu Turkar"/>
    <s v="Fagu Turkar"/>
    <x v="0"/>
    <s v="APL"/>
    <x v="0"/>
    <s v="No"/>
    <s v="No"/>
    <n v="65"/>
    <x v="51"/>
    <x v="0"/>
    <x v="4"/>
    <x v="43"/>
  </r>
  <r>
    <n v="111"/>
    <s v="MARARTOLA"/>
    <x v="110"/>
    <s v="Maniram Harichand Matre"/>
    <s v="Harichand Matre"/>
    <x v="0"/>
    <s v="APL"/>
    <x v="0"/>
    <s v="No"/>
    <s v="No"/>
    <n v="36"/>
    <x v="52"/>
    <x v="0"/>
    <x v="0"/>
    <x v="44"/>
  </r>
  <r>
    <n v="112"/>
    <s v="TEDHAVA"/>
    <x v="111"/>
    <s v="Maniram Bhaulal Matre"/>
    <s v="Bhaulal"/>
    <x v="0"/>
    <s v="APL"/>
    <x v="2"/>
    <s v="Yes"/>
    <s v="Yes"/>
    <n v="45"/>
    <x v="6"/>
    <x v="1"/>
    <x v="3"/>
    <x v="6"/>
  </r>
  <r>
    <n v="113"/>
    <s v="MARARTOLA"/>
    <x v="112"/>
    <s v="Mehatrinbai Housalal Mane"/>
    <s v="Housalal Mane"/>
    <x v="0"/>
    <s v="APL"/>
    <x v="5"/>
    <s v="No"/>
    <s v="No"/>
    <n v="58"/>
    <x v="53"/>
    <x v="0"/>
    <x v="0"/>
    <x v="27"/>
  </r>
  <r>
    <n v="114"/>
    <s v="TEDHAVA"/>
    <x v="113"/>
    <s v="Manoj Shobhelal Patle"/>
    <s v="Shobhelal"/>
    <x v="0"/>
    <s v="BPL"/>
    <x v="3"/>
    <s v="Yes"/>
    <s v="Yes"/>
    <n v="72"/>
    <x v="54"/>
    <x v="0"/>
    <x v="0"/>
    <x v="45"/>
  </r>
  <r>
    <n v="115"/>
    <s v="MARARTOLA"/>
    <x v="114"/>
    <s v="Motial Jaggu Dadare"/>
    <s v="Jaggu Dadare"/>
    <x v="0"/>
    <s v="APL"/>
    <x v="2"/>
    <s v="No"/>
    <s v="No"/>
    <n v="62"/>
    <x v="6"/>
    <x v="1"/>
    <x v="3"/>
    <x v="6"/>
  </r>
  <r>
    <n v="116"/>
    <s v="TEDHAVA"/>
    <x v="115"/>
    <s v="Manojkumar Omkar Baramate"/>
    <s v="Omkar"/>
    <x v="0"/>
    <s v="APL"/>
    <x v="6"/>
    <s v="Yes"/>
    <s v="Yes"/>
    <n v="37"/>
    <x v="55"/>
    <x v="0"/>
    <x v="2"/>
    <x v="46"/>
  </r>
  <r>
    <n v="117"/>
    <s v="MARARTOLA"/>
    <x v="116"/>
    <s v="Motiram Jagan Meshram"/>
    <s v="Jagan Meshram"/>
    <x v="0"/>
    <s v="APL"/>
    <x v="1"/>
    <s v="No"/>
    <s v="No"/>
    <n v="69"/>
    <x v="56"/>
    <x v="0"/>
    <x v="0"/>
    <x v="47"/>
  </r>
  <r>
    <n v="118"/>
    <s v="TEDHAVA"/>
    <x v="117"/>
    <s v="Maroti Charanlal Neware"/>
    <s v="Charanlal"/>
    <x v="0"/>
    <s v="BPL"/>
    <x v="1"/>
    <s v="Yes"/>
    <s v="Yes"/>
    <n v="85"/>
    <x v="57"/>
    <x v="2"/>
    <x v="0"/>
    <x v="48"/>
  </r>
  <r>
    <n v="119"/>
    <s v="MARARTOLA"/>
    <x v="118"/>
    <s v="Narayan Jagan Meshram"/>
    <s v="Jagan Meshram"/>
    <x v="0"/>
    <s v="APL"/>
    <x v="0"/>
    <s v="Yes"/>
    <s v="Yes"/>
    <n v="45"/>
    <x v="58"/>
    <x v="0"/>
    <x v="1"/>
    <x v="42"/>
  </r>
  <r>
    <n v="120"/>
    <s v="TEDHAVA"/>
    <x v="119"/>
    <s v="Mayaran Hauslal Mane"/>
    <s v="Hauslal"/>
    <x v="1"/>
    <s v="APL"/>
    <x v="5"/>
    <s v="Yes"/>
    <s v="Yes"/>
    <n v="84"/>
    <x v="3"/>
    <x v="0"/>
    <x v="1"/>
    <x v="49"/>
  </r>
  <r>
    <n v="121"/>
    <s v="MARARTOLA"/>
    <x v="120"/>
    <s v="Pandu Sukau Mane"/>
    <s v="Sukau Mane"/>
    <x v="0"/>
    <s v="APL"/>
    <x v="2"/>
    <s v="Yes"/>
    <s v="Yes"/>
    <n v="57"/>
    <x v="6"/>
    <x v="1"/>
    <x v="3"/>
    <x v="6"/>
  </r>
  <r>
    <n v="122"/>
    <s v="TEDHAVA"/>
    <x v="121"/>
    <s v="Naresh Rambaks Rahangadale"/>
    <s v="Rambaks Mittu Rahangadale"/>
    <x v="0"/>
    <s v="APL"/>
    <x v="2"/>
    <s v="No"/>
    <s v="No"/>
    <n v="83"/>
    <x v="6"/>
    <x v="1"/>
    <x v="3"/>
    <x v="6"/>
  </r>
  <r>
    <n v="123"/>
    <s v="MARARTOLA"/>
    <x v="122"/>
    <s v="Pandusav Borkar"/>
    <s v="Bhudhusav"/>
    <x v="0"/>
    <s v="APL"/>
    <x v="2"/>
    <s v="Yes"/>
    <s v="Yes"/>
    <n v="47"/>
    <x v="6"/>
    <x v="1"/>
    <x v="3"/>
    <x v="6"/>
  </r>
  <r>
    <n v="124"/>
    <s v="TEDHAVA"/>
    <x v="123"/>
    <s v="Naru Harelal Mane"/>
    <s v="Harelal"/>
    <x v="0"/>
    <s v="BPL"/>
    <x v="3"/>
    <s v="Yes"/>
    <s v="No"/>
    <n v="57"/>
    <x v="59"/>
    <x v="3"/>
    <x v="0"/>
    <x v="50"/>
  </r>
  <r>
    <n v="125"/>
    <s v="MARARTOLA"/>
    <x v="124"/>
    <s v="Pardes Matru Matre"/>
    <s v="Matru Matre"/>
    <x v="0"/>
    <s v="APL"/>
    <x v="2"/>
    <s v="No"/>
    <s v="No"/>
    <n v="69"/>
    <x v="6"/>
    <x v="1"/>
    <x v="3"/>
    <x v="6"/>
  </r>
  <r>
    <n v="126"/>
    <s v="TEDHAVA"/>
    <x v="125"/>
    <s v="Parasaram Chintaman Tembhare"/>
    <s v="Chintaman"/>
    <x v="0"/>
    <s v="APL"/>
    <x v="2"/>
    <s v="Yes"/>
    <s v="Yes"/>
    <n v="83"/>
    <x v="6"/>
    <x v="1"/>
    <x v="3"/>
    <x v="6"/>
  </r>
  <r>
    <n v="127"/>
    <s v="MARARTOLA"/>
    <x v="126"/>
    <s v="Pardesh Urkuda Matre"/>
    <s v="Urkuda Matre"/>
    <x v="0"/>
    <s v="APL"/>
    <x v="2"/>
    <s v="Yes"/>
    <s v="Yes"/>
    <n v="72"/>
    <x v="6"/>
    <x v="1"/>
    <x v="3"/>
    <x v="6"/>
  </r>
  <r>
    <n v="128"/>
    <s v="TEDHAVA"/>
    <x v="127"/>
    <s v="Parmeshwar Madanlal Meshram"/>
    <s v="Madanlal"/>
    <x v="0"/>
    <s v="BPL"/>
    <x v="6"/>
    <s v="Yes"/>
    <s v="Yes"/>
    <n v="46"/>
    <x v="60"/>
    <x v="0"/>
    <x v="1"/>
    <x v="51"/>
  </r>
  <r>
    <n v="129"/>
    <s v="MARARTOLA"/>
    <x v="128"/>
    <s v="Patiram Laxaman Pache"/>
    <s v="Laxaman Pache"/>
    <x v="0"/>
    <s v="APL"/>
    <x v="2"/>
    <s v="No"/>
    <s v="No"/>
    <n v="67"/>
    <x v="6"/>
    <x v="1"/>
    <x v="3"/>
    <x v="6"/>
  </r>
  <r>
    <n v="130"/>
    <s v="TEDHAVA"/>
    <x v="129"/>
    <s v="Parsaram Mathru Matre"/>
    <s v="Mathru"/>
    <x v="0"/>
    <s v="BPL"/>
    <x v="3"/>
    <s v="Yes"/>
    <s v="No"/>
    <n v="61"/>
    <x v="61"/>
    <x v="0"/>
    <x v="1"/>
    <x v="8"/>
  </r>
  <r>
    <n v="131"/>
    <s v="MARARTOLA"/>
    <x v="130"/>
    <s v="Prabhu Dhondu Bhoyar"/>
    <s v="Dhondu Bhoyar"/>
    <x v="0"/>
    <s v="APL"/>
    <x v="2"/>
    <s v="No"/>
    <s v="No"/>
    <n v="34"/>
    <x v="6"/>
    <x v="1"/>
    <x v="3"/>
    <x v="6"/>
  </r>
  <r>
    <n v="132"/>
    <s v="TEDHAVA"/>
    <x v="131"/>
    <s v="Piratilal Hiralal Turkar"/>
    <s v="Hiralal"/>
    <x v="0"/>
    <s v="APL"/>
    <x v="0"/>
    <s v="Yes"/>
    <s v="Yes"/>
    <n v="67"/>
    <x v="62"/>
    <x v="0"/>
    <x v="0"/>
    <x v="52"/>
  </r>
  <r>
    <n v="133"/>
    <s v="MARARTOLA"/>
    <x v="132"/>
    <s v="Prasaram Harelal Mane"/>
    <s v="Harelal Mane"/>
    <x v="0"/>
    <s v="APL"/>
    <x v="0"/>
    <s v="No"/>
    <s v="No"/>
    <n v="63"/>
    <x v="63"/>
    <x v="3"/>
    <x v="0"/>
    <x v="53"/>
  </r>
  <r>
    <n v="134"/>
    <s v="TEDHAVA"/>
    <x v="133"/>
    <s v="Pramila Suklal Sonwane"/>
    <s v="Suklal"/>
    <x v="1"/>
    <s v="APL"/>
    <x v="5"/>
    <s v="Yes"/>
    <s v="Yes"/>
    <n v="74"/>
    <x v="64"/>
    <x v="3"/>
    <x v="7"/>
    <x v="54"/>
  </r>
  <r>
    <n v="135"/>
    <s v="MARARTOLA"/>
    <x v="134"/>
    <s v="Prasharam Laxsiram Bhoyar"/>
    <s v="Laxsiram Bhoyar"/>
    <x v="0"/>
    <s v="APL"/>
    <x v="2"/>
    <s v="Yes"/>
    <s v="Yes"/>
    <n v="75"/>
    <x v="6"/>
    <x v="1"/>
    <x v="3"/>
    <x v="6"/>
  </r>
  <r>
    <n v="136"/>
    <s v="TEDHAVA"/>
    <x v="135"/>
    <s v="Pramilabai Radheshyamji Hatele"/>
    <s v="Radheshyamji"/>
    <x v="1"/>
    <s v="BPL"/>
    <x v="3"/>
    <s v="Yes"/>
    <s v="Yes"/>
    <n v="84"/>
    <x v="65"/>
    <x v="3"/>
    <x v="7"/>
    <x v="55"/>
  </r>
  <r>
    <n v="137"/>
    <s v="MARARTOLA"/>
    <x v="136"/>
    <s v="Prasu Laxaman Bhoyar"/>
    <s v="Laxaman Bhoyar"/>
    <x v="0"/>
    <s v="APL"/>
    <x v="2"/>
    <s v="No"/>
    <s v="No"/>
    <n v="45"/>
    <x v="6"/>
    <x v="1"/>
    <x v="3"/>
    <x v="6"/>
  </r>
  <r>
    <n v="138"/>
    <s v="TEDHAVA"/>
    <x v="137"/>
    <s v="Pravin Pralhad Choude"/>
    <s v="Pralhad"/>
    <x v="0"/>
    <s v="BPL"/>
    <x v="6"/>
    <s v="Yes"/>
    <s v="Yes"/>
    <n v="40"/>
    <x v="54"/>
    <x v="0"/>
    <x v="0"/>
    <x v="56"/>
  </r>
  <r>
    <n v="139"/>
    <s v="MARARTOLA"/>
    <x v="138"/>
    <s v="Pritlal Turkar"/>
    <s v="Khetri"/>
    <x v="0"/>
    <s v="APL"/>
    <x v="0"/>
    <s v="Yes"/>
    <s v="Yes"/>
    <n v="39"/>
    <x v="66"/>
    <x v="3"/>
    <x v="5"/>
    <x v="57"/>
  </r>
  <r>
    <n v="140"/>
    <s v="TEDHAVA"/>
    <x v="139"/>
    <s v="Pruthviraj Metha Meshram"/>
    <s v="Metha"/>
    <x v="0"/>
    <s v="APL"/>
    <x v="2"/>
    <s v="Yes"/>
    <s v="No"/>
    <n v="33"/>
    <x v="6"/>
    <x v="1"/>
    <x v="3"/>
    <x v="6"/>
  </r>
  <r>
    <n v="141"/>
    <s v="MARARTOLA"/>
    <x v="140"/>
    <s v="Pyarelal Zagdu Pache"/>
    <s v="Zagdu Pache"/>
    <x v="0"/>
    <s v="APL"/>
    <x v="0"/>
    <s v="No"/>
    <s v="No"/>
    <n v="56"/>
    <x v="67"/>
    <x v="0"/>
    <x v="4"/>
    <x v="58"/>
  </r>
  <r>
    <n v="142"/>
    <s v="TEDHAVA"/>
    <x v="141"/>
    <s v="Puranlal Karu Mane"/>
    <s v="Karu"/>
    <x v="0"/>
    <s v="APL"/>
    <x v="2"/>
    <s v="Yes"/>
    <s v="Yes"/>
    <n v="62"/>
    <x v="6"/>
    <x v="1"/>
    <x v="3"/>
    <x v="6"/>
  </r>
  <r>
    <n v="143"/>
    <s v="MARARTOLA"/>
    <x v="142"/>
    <s v="Rajman Bhuriya Mane"/>
    <s v="Bhuriya Mane"/>
    <x v="0"/>
    <s v="APL"/>
    <x v="2"/>
    <s v="Yes"/>
    <s v="Yes"/>
    <n v="56"/>
    <x v="6"/>
    <x v="1"/>
    <x v="3"/>
    <x v="6"/>
  </r>
  <r>
    <n v="144"/>
    <s v="TEDHAVA"/>
    <x v="143"/>
    <s v="Pustakalabai Ishinath Chauragade"/>
    <s v="Ishinath"/>
    <x v="0"/>
    <s v="APL"/>
    <x v="2"/>
    <s v="Yes"/>
    <s v="Yes"/>
    <n v="77"/>
    <x v="6"/>
    <x v="1"/>
    <x v="3"/>
    <x v="6"/>
  </r>
  <r>
    <n v="145"/>
    <s v="MARARTOLA"/>
    <x v="144"/>
    <s v="Rajman Hiralal Matre"/>
    <s v="Hiralal Matre"/>
    <x v="0"/>
    <s v="APL"/>
    <x v="2"/>
    <s v="Yes"/>
    <s v="Yes"/>
    <n v="75"/>
    <x v="6"/>
    <x v="1"/>
    <x v="3"/>
    <x v="6"/>
  </r>
  <r>
    <n v="146"/>
    <s v="TEDHAVA"/>
    <x v="145"/>
    <s v="Radhelal Sakatu Pache"/>
    <s v="Sakatu"/>
    <x v="0"/>
    <s v="APL"/>
    <x v="2"/>
    <s v="Yes"/>
    <s v="Yes"/>
    <n v="72"/>
    <x v="6"/>
    <x v="1"/>
    <x v="3"/>
    <x v="6"/>
  </r>
  <r>
    <n v="147"/>
    <s v="MARARTOLA"/>
    <x v="146"/>
    <s v="Raju Tekalal Mane"/>
    <s v="Tekalal Mane"/>
    <x v="0"/>
    <s v="APL"/>
    <x v="2"/>
    <s v="No"/>
    <s v="No"/>
    <n v="66"/>
    <x v="6"/>
    <x v="1"/>
    <x v="3"/>
    <x v="6"/>
  </r>
  <r>
    <n v="148"/>
    <s v="TEDHAVA"/>
    <x v="147"/>
    <s v="Radheshyam Jiyalal Bisen"/>
    <s v="Jiyalal"/>
    <x v="0"/>
    <s v="APL"/>
    <x v="2"/>
    <s v="Yes"/>
    <s v="Yes"/>
    <n v="77"/>
    <x v="6"/>
    <x v="1"/>
    <x v="3"/>
    <x v="6"/>
  </r>
  <r>
    <n v="149"/>
    <s v="MARARTOLA"/>
    <x v="148"/>
    <s v="Rambakash Laxman Pache"/>
    <s v="Laxman Pache"/>
    <x v="0"/>
    <s v="APL"/>
    <x v="2"/>
    <s v="Yes"/>
    <s v="Yes"/>
    <n v="49"/>
    <x v="6"/>
    <x v="1"/>
    <x v="3"/>
    <x v="6"/>
  </r>
  <r>
    <n v="150"/>
    <s v="TEDHAVA"/>
    <x v="149"/>
    <s v="Rajendra Netlal Savankar"/>
    <s v="Netlal"/>
    <x v="0"/>
    <s v="BPL"/>
    <x v="3"/>
    <s v="Yes"/>
    <s v="No"/>
    <n v="50"/>
    <x v="43"/>
    <x v="3"/>
    <x v="0"/>
    <x v="59"/>
  </r>
  <r>
    <n v="151"/>
    <s v="MARARTOLA"/>
    <x v="150"/>
    <s v="Ramdas Fate Matre"/>
    <s v="Fate Matre"/>
    <x v="0"/>
    <s v="APL"/>
    <x v="0"/>
    <s v="Yes"/>
    <s v="Yes"/>
    <n v="34"/>
    <x v="68"/>
    <x v="2"/>
    <x v="0"/>
    <x v="43"/>
  </r>
  <r>
    <n v="152"/>
    <s v="TEDHAVA"/>
    <x v="151"/>
    <s v="Rajesh Fulchand Matare"/>
    <s v="Fulichand"/>
    <x v="0"/>
    <s v="APL"/>
    <x v="2"/>
    <s v="Yes"/>
    <s v="Yes"/>
    <n v="51"/>
    <x v="6"/>
    <x v="1"/>
    <x v="3"/>
    <x v="6"/>
  </r>
  <r>
    <n v="153"/>
    <s v="MARARTOLA"/>
    <x v="152"/>
    <s v="Ramesh Tekam"/>
    <s v="Sakharam"/>
    <x v="0"/>
    <s v="APL"/>
    <x v="0"/>
    <s v="Yes"/>
    <s v="Yes"/>
    <n v="64"/>
    <x v="69"/>
    <x v="0"/>
    <x v="2"/>
    <x v="16"/>
  </r>
  <r>
    <n v="154"/>
    <s v="TEDHAVA"/>
    <x v="153"/>
    <s v="Rajkumar Bayapar Singanadhupe"/>
    <s v="Bayapar"/>
    <x v="0"/>
    <s v="BPL"/>
    <x v="3"/>
    <s v="Yes"/>
    <s v="Yes"/>
    <n v="61"/>
    <x v="70"/>
    <x v="0"/>
    <x v="0"/>
    <x v="11"/>
  </r>
  <r>
    <n v="155"/>
    <s v="MARARTOLA"/>
    <x v="154"/>
    <s v="Rameshwar Ramchand Matre"/>
    <s v="Ramchand Matre"/>
    <x v="0"/>
    <s v="APL"/>
    <x v="2"/>
    <s v="Yes"/>
    <s v="Yes"/>
    <n v="81"/>
    <x v="6"/>
    <x v="1"/>
    <x v="3"/>
    <x v="6"/>
  </r>
  <r>
    <n v="156"/>
    <s v="TEDHAVA"/>
    <x v="155"/>
    <s v="Rajkumar Lakhanlal Ambadare"/>
    <s v="Lakhanlal"/>
    <x v="0"/>
    <s v="BPL"/>
    <x v="3"/>
    <s v="No"/>
    <s v="No"/>
    <n v="60"/>
    <x v="71"/>
    <x v="3"/>
    <x v="8"/>
    <x v="60"/>
  </r>
  <r>
    <n v="157"/>
    <s v="MARARTOLA"/>
    <x v="156"/>
    <s v="Ramprasad Rupchand Matre"/>
    <s v="Rupchand Matre"/>
    <x v="0"/>
    <s v="APL"/>
    <x v="2"/>
    <s v="Yes"/>
    <s v="Yes"/>
    <n v="77"/>
    <x v="6"/>
    <x v="1"/>
    <x v="3"/>
    <x v="6"/>
  </r>
  <r>
    <n v="158"/>
    <s v="TEDHAVA"/>
    <x v="157"/>
    <s v="Rajkumar Surajlal Dhuware"/>
    <s v="Surajlal"/>
    <x v="0"/>
    <s v="APL"/>
    <x v="2"/>
    <s v="Yes"/>
    <s v="Yes"/>
    <n v="36"/>
    <x v="6"/>
    <x v="1"/>
    <x v="3"/>
    <x v="6"/>
  </r>
  <r>
    <n v="159"/>
    <s v="MARARTOLA"/>
    <x v="158"/>
    <s v="Ramprasad Sonwanr"/>
    <s v="Laxaman"/>
    <x v="0"/>
    <s v="BPL"/>
    <x v="1"/>
    <s v="Yes"/>
    <s v="Yes"/>
    <n v="38"/>
    <x v="72"/>
    <x v="0"/>
    <x v="2"/>
    <x v="61"/>
  </r>
  <r>
    <n v="160"/>
    <s v="TEDHAVA"/>
    <x v="159"/>
    <s v="Rajkumar Thanthan Turkar"/>
    <s v="Thanthan"/>
    <x v="0"/>
    <s v="BPL"/>
    <x v="3"/>
    <s v="Yes"/>
    <s v="Yes"/>
    <n v="66"/>
    <x v="73"/>
    <x v="0"/>
    <x v="2"/>
    <x v="62"/>
  </r>
  <r>
    <n v="161"/>
    <s v="MARARTOLA"/>
    <x v="160"/>
    <s v="Ramprasad Matre"/>
    <s v="Rupchand"/>
    <x v="0"/>
    <s v="APL"/>
    <x v="2"/>
    <s v="Yes"/>
    <s v="Yes"/>
    <n v="28"/>
    <x v="6"/>
    <x v="1"/>
    <x v="3"/>
    <x v="6"/>
  </r>
  <r>
    <n v="162"/>
    <s v="TEDHAVA"/>
    <x v="161"/>
    <s v="Rama Zagadu Pache"/>
    <s v="Zagadu"/>
    <x v="0"/>
    <s v="BPL"/>
    <x v="3"/>
    <s v="Yes"/>
    <s v="Yes"/>
    <n v="43"/>
    <x v="74"/>
    <x v="0"/>
    <x v="0"/>
    <x v="63"/>
  </r>
  <r>
    <n v="163"/>
    <s v="MARARTOLA"/>
    <x v="162"/>
    <s v="Rukan Fandi Pache"/>
    <s v="Fandi Pache"/>
    <x v="0"/>
    <s v="APL"/>
    <x v="4"/>
    <s v="No"/>
    <s v="No"/>
    <n v="83"/>
    <x v="75"/>
    <x v="0"/>
    <x v="0"/>
    <x v="31"/>
  </r>
  <r>
    <n v="164"/>
    <s v="TEDHAVA"/>
    <x v="163"/>
    <s v="Rambati Yashlal Pache"/>
    <s v="Yashlal"/>
    <x v="1"/>
    <s v="APL"/>
    <x v="5"/>
    <s v="Yes"/>
    <s v="Yes"/>
    <n v="59"/>
    <x v="76"/>
    <x v="0"/>
    <x v="2"/>
    <x v="64"/>
  </r>
  <r>
    <n v="165"/>
    <s v="MARARTOLA"/>
    <x v="164"/>
    <s v="Rupchand Mairaji Matre"/>
    <s v="Mairaji Matre"/>
    <x v="0"/>
    <s v="APL"/>
    <x v="2"/>
    <s v="Yes"/>
    <s v="Yes"/>
    <n v="54"/>
    <x v="6"/>
    <x v="1"/>
    <x v="3"/>
    <x v="6"/>
  </r>
  <r>
    <n v="166"/>
    <s v="TEDHAVA"/>
    <x v="165"/>
    <s v="Ramdas Fatte Matare"/>
    <s v="Fatte"/>
    <x v="0"/>
    <s v="BPL"/>
    <x v="3"/>
    <s v="Yes"/>
    <s v="Yes"/>
    <n v="50"/>
    <x v="77"/>
    <x v="0"/>
    <x v="0"/>
    <x v="65"/>
  </r>
  <r>
    <n v="167"/>
    <s v="MARARTOLA"/>
    <x v="166"/>
    <s v="Rupchand Turkar"/>
    <s v="Brijlal"/>
    <x v="0"/>
    <s v="APL"/>
    <x v="0"/>
    <s v="Yes"/>
    <s v="Yes"/>
    <n v="40"/>
    <x v="78"/>
    <x v="0"/>
    <x v="1"/>
    <x v="66"/>
  </r>
  <r>
    <n v="168"/>
    <s v="TEDHAVA"/>
    <x v="167"/>
    <s v="Ramesh Puranlal Neware"/>
    <s v="Puranlal"/>
    <x v="0"/>
    <s v="APL"/>
    <x v="2"/>
    <s v="Yes"/>
    <s v="Yes"/>
    <n v="52"/>
    <x v="6"/>
    <x v="1"/>
    <x v="3"/>
    <x v="6"/>
  </r>
  <r>
    <n v="169"/>
    <s v="MARARTOLA"/>
    <x v="168"/>
    <s v="Sagulal Shamlal Nagfase"/>
    <s v="Shamlal Nagfase"/>
    <x v="0"/>
    <s v="APL"/>
    <x v="2"/>
    <s v="No"/>
    <s v="No"/>
    <n v="82"/>
    <x v="6"/>
    <x v="1"/>
    <x v="3"/>
    <x v="6"/>
  </r>
  <r>
    <n v="170"/>
    <s v="TEDHAVA"/>
    <x v="169"/>
    <s v="Ramkishor Urkuda Matare"/>
    <s v="Urkuda"/>
    <x v="0"/>
    <s v="APL"/>
    <x v="2"/>
    <s v="Yes"/>
    <s v="Yes"/>
    <n v="66"/>
    <x v="6"/>
    <x v="1"/>
    <x v="3"/>
    <x v="6"/>
  </r>
  <r>
    <n v="171"/>
    <s v="MARARTOLA"/>
    <x v="170"/>
    <s v="Sahejalal Jagan Matre"/>
    <s v="Jagan Matre"/>
    <x v="0"/>
    <s v="APL"/>
    <x v="2"/>
    <s v="Yes"/>
    <s v="Yes"/>
    <n v="52"/>
    <x v="6"/>
    <x v="1"/>
    <x v="3"/>
    <x v="6"/>
  </r>
  <r>
    <n v="172"/>
    <s v="TEDHAVA"/>
    <x v="171"/>
    <s v="Ramprasad Teklal Turkar"/>
    <s v="Teklal Turkar"/>
    <x v="0"/>
    <s v="BPL"/>
    <x v="3"/>
    <s v="No"/>
    <s v="No"/>
    <n v="83"/>
    <x v="79"/>
    <x v="3"/>
    <x v="1"/>
    <x v="19"/>
  </r>
  <r>
    <n v="173"/>
    <s v="MARARTOLA"/>
    <x v="172"/>
    <s v="Saktu Bhandari Pache"/>
    <s v="Bhandari Pache"/>
    <x v="0"/>
    <s v="APL"/>
    <x v="4"/>
    <s v="No"/>
    <s v="No"/>
    <n v="52"/>
    <x v="80"/>
    <x v="0"/>
    <x v="0"/>
    <x v="67"/>
  </r>
  <r>
    <n v="174"/>
    <s v="TEDHAVA"/>
    <x v="173"/>
    <s v="Ratiram Jaggu Dandare"/>
    <s v="Jaggu"/>
    <x v="0"/>
    <s v="BPL"/>
    <x v="3"/>
    <s v="Yes"/>
    <s v="No"/>
    <n v="78"/>
    <x v="81"/>
    <x v="0"/>
    <x v="0"/>
    <x v="68"/>
  </r>
  <r>
    <n v="175"/>
    <s v="MARARTOLA"/>
    <x v="174"/>
    <s v="Saktu Goundu Marde"/>
    <s v="Goundu Marde"/>
    <x v="0"/>
    <s v="APL"/>
    <x v="2"/>
    <s v="No"/>
    <s v="No"/>
    <n v="32"/>
    <x v="6"/>
    <x v="1"/>
    <x v="3"/>
    <x v="6"/>
  </r>
  <r>
    <n v="176"/>
    <s v="TEDHAVA"/>
    <x v="175"/>
    <s v="Ritesh Rajman Kolhatkar"/>
    <s v="Rajman"/>
    <x v="0"/>
    <s v="APL"/>
    <x v="6"/>
    <s v="Yes"/>
    <s v="Yes"/>
    <n v="64"/>
    <x v="82"/>
    <x v="2"/>
    <x v="0"/>
    <x v="69"/>
  </r>
  <r>
    <n v="177"/>
    <s v="MARARTOLA"/>
    <x v="176"/>
    <s v="Sanjay Bijewar"/>
    <s v="Ramdas"/>
    <x v="0"/>
    <s v="APL"/>
    <x v="2"/>
    <s v="Yes"/>
    <s v="Yes"/>
    <n v="65"/>
    <x v="6"/>
    <x v="1"/>
    <x v="3"/>
    <x v="6"/>
  </r>
  <r>
    <n v="178"/>
    <s v="TEDHAVA"/>
    <x v="177"/>
    <s v="Riteshkumar Kantilal Vegad"/>
    <s v="Kantilal"/>
    <x v="0"/>
    <s v="APL"/>
    <x v="2"/>
    <s v="Yes"/>
    <s v="Yes"/>
    <n v="34"/>
    <x v="6"/>
    <x v="1"/>
    <x v="3"/>
    <x v="6"/>
  </r>
  <r>
    <n v="179"/>
    <s v="MARARTOLA"/>
    <x v="178"/>
    <s v="Shamlal Chambharu Matre"/>
    <s v="Chambharu Matre"/>
    <x v="0"/>
    <s v="APL"/>
    <x v="2"/>
    <s v="No"/>
    <s v="No"/>
    <n v="48"/>
    <x v="6"/>
    <x v="1"/>
    <x v="3"/>
    <x v="6"/>
  </r>
  <r>
    <n v="180"/>
    <s v="TEDHAVA"/>
    <x v="179"/>
    <s v="Roshan Rukan Ambedare"/>
    <s v="Rukan"/>
    <x v="0"/>
    <s v="BPL"/>
    <x v="3"/>
    <s v="Yes"/>
    <s v="Yes"/>
    <n v="46"/>
    <x v="70"/>
    <x v="0"/>
    <x v="6"/>
    <x v="50"/>
  </r>
  <r>
    <n v="181"/>
    <s v="MARARTOLA"/>
    <x v="180"/>
    <s v="Shamlal Sakhatu Nagfase"/>
    <s v="Sakhatu Nagfase"/>
    <x v="0"/>
    <s v="APL"/>
    <x v="2"/>
    <s v="Yes"/>
    <s v="Yes"/>
    <n v="36"/>
    <x v="6"/>
    <x v="1"/>
    <x v="3"/>
    <x v="6"/>
  </r>
  <r>
    <n v="182"/>
    <s v="TEDHAVA"/>
    <x v="181"/>
    <s v="Sabulal Shyamlal Nagfase"/>
    <s v="Shyamlal"/>
    <x v="0"/>
    <s v="APL"/>
    <x v="2"/>
    <s v="Yes"/>
    <s v="Yes"/>
    <n v="35"/>
    <x v="6"/>
    <x v="1"/>
    <x v="3"/>
    <x v="6"/>
  </r>
  <r>
    <n v="183"/>
    <s v="MARARTOLA"/>
    <x v="182"/>
    <s v="Shobhachand Matre"/>
    <s v="Gosai"/>
    <x v="0"/>
    <s v="APL"/>
    <x v="0"/>
    <s v="Yes"/>
    <s v="Yes"/>
    <n v="52"/>
    <x v="83"/>
    <x v="3"/>
    <x v="2"/>
    <x v="70"/>
  </r>
  <r>
    <n v="184"/>
    <s v="TEDHAVA"/>
    <x v="183"/>
    <s v="Sachin Maniklal Meshram"/>
    <s v="Manikla"/>
    <x v="0"/>
    <s v="BPL"/>
    <x v="6"/>
    <s v="Yes"/>
    <s v="Yes"/>
    <n v="63"/>
    <x v="84"/>
    <x v="0"/>
    <x v="2"/>
    <x v="63"/>
  </r>
  <r>
    <n v="185"/>
    <s v="MARARTOLA"/>
    <x v="184"/>
    <s v="Sonelal Brijalal Kainawat"/>
    <s v="Brijalal Kainawat"/>
    <x v="0"/>
    <s v="APL"/>
    <x v="2"/>
    <s v="Yes"/>
    <s v="Yes"/>
    <n v="59"/>
    <x v="6"/>
    <x v="1"/>
    <x v="3"/>
    <x v="6"/>
  </r>
  <r>
    <n v="186"/>
    <s v="TEDHAVA"/>
    <x v="185"/>
    <s v="Sajwantibai Pardesh Matre"/>
    <s v="Pardesh"/>
    <x v="1"/>
    <s v="APL"/>
    <x v="5"/>
    <s v="Yes"/>
    <s v="No"/>
    <n v="38"/>
    <x v="85"/>
    <x v="0"/>
    <x v="0"/>
    <x v="71"/>
  </r>
  <r>
    <n v="187"/>
    <s v="MARARTOLA"/>
    <x v="186"/>
    <s v="Tekalal Sude Mane"/>
    <s v="Sude Mane"/>
    <x v="0"/>
    <s v="APL"/>
    <x v="2"/>
    <s v="Yes"/>
    <s v="Yes"/>
    <n v="48"/>
    <x v="6"/>
    <x v="1"/>
    <x v="3"/>
    <x v="6"/>
  </r>
  <r>
    <n v="188"/>
    <s v="TEDHAVA"/>
    <x v="187"/>
    <s v="Sakharam Maharu Bahe"/>
    <s v="Maharu"/>
    <x v="0"/>
    <s v="BPL"/>
    <x v="3"/>
    <s v="Yes"/>
    <s v="Yes"/>
    <n v="73"/>
    <x v="55"/>
    <x v="3"/>
    <x v="2"/>
    <x v="72"/>
  </r>
  <r>
    <n v="189"/>
    <s v="MARARTOLA"/>
    <x v="188"/>
    <s v="Tiju Hagru Pache"/>
    <s v="Hagru Pache"/>
    <x v="0"/>
    <s v="APL"/>
    <x v="2"/>
    <s v="Yes"/>
    <s v="Yes"/>
    <n v="78"/>
    <x v="6"/>
    <x v="1"/>
    <x v="3"/>
    <x v="6"/>
  </r>
  <r>
    <n v="190"/>
    <s v="TEDHAVA"/>
    <x v="189"/>
    <s v="Samau Munnalal Mane"/>
    <s v="Munnalal"/>
    <x v="0"/>
    <s v="BPL"/>
    <x v="3"/>
    <s v="Yes"/>
    <s v="Yes"/>
    <n v="29"/>
    <x v="86"/>
    <x v="0"/>
    <x v="0"/>
    <x v="28"/>
  </r>
  <r>
    <n v="191"/>
    <s v="MARARTOLA"/>
    <x v="190"/>
    <s v="Toku Tikalu Matre"/>
    <s v="Tikalu Matre"/>
    <x v="0"/>
    <s v="APL"/>
    <x v="2"/>
    <s v="No"/>
    <s v="No"/>
    <n v="32"/>
    <x v="6"/>
    <x v="1"/>
    <x v="3"/>
    <x v="6"/>
  </r>
  <r>
    <n v="192"/>
    <s v="TEDHAVA"/>
    <x v="191"/>
    <s v="Sandip Manikalal Lilhare"/>
    <s v="Manikalal"/>
    <x v="0"/>
    <s v="APL"/>
    <x v="2"/>
    <s v="No"/>
    <s v="No"/>
    <n v="54"/>
    <x v="6"/>
    <x v="1"/>
    <x v="3"/>
    <x v="6"/>
  </r>
  <r>
    <n v="193"/>
    <s v="MARARTOLA"/>
    <x v="192"/>
    <s v="Tulsidas Hans Nagfase"/>
    <s v="Hans Nagfase"/>
    <x v="0"/>
    <s v="APL"/>
    <x v="2"/>
    <s v="Yes"/>
    <s v="Yes"/>
    <n v="54"/>
    <x v="6"/>
    <x v="1"/>
    <x v="3"/>
    <x v="6"/>
  </r>
  <r>
    <n v="194"/>
    <s v="TEDHAVA"/>
    <x v="193"/>
    <s v="Sanjay Yovraj Kolhatkar"/>
    <s v="Yovraj"/>
    <x v="0"/>
    <s v="APL"/>
    <x v="6"/>
    <s v="Yes"/>
    <s v="Yes"/>
    <n v="66"/>
    <x v="50"/>
    <x v="0"/>
    <x v="6"/>
    <x v="45"/>
  </r>
  <r>
    <n v="195"/>
    <s v="MARARTOLA"/>
    <x v="194"/>
    <s v="Umrao Baipar Singandhupe"/>
    <s v="Baipar Singandhupe"/>
    <x v="0"/>
    <s v="APL"/>
    <x v="0"/>
    <s v="No"/>
    <s v="No"/>
    <n v="50"/>
    <x v="87"/>
    <x v="0"/>
    <x v="6"/>
    <x v="44"/>
  </r>
  <r>
    <n v="196"/>
    <s v="TEDHAVA"/>
    <x v="195"/>
    <s v="Saralabai Adityakumar Dwivedi"/>
    <s v="Adityakumar Dwivedi"/>
    <x v="1"/>
    <s v="BPL"/>
    <x v="3"/>
    <s v="No"/>
    <s v="No"/>
    <n v="50"/>
    <x v="88"/>
    <x v="0"/>
    <x v="0"/>
    <x v="37"/>
  </r>
  <r>
    <n v="197"/>
    <s v="MARARTOLA"/>
    <x v="196"/>
    <s v="Zagdu Tikalu Pache"/>
    <s v="Tikalu Pache"/>
    <x v="0"/>
    <s v="APL"/>
    <x v="2"/>
    <s v="No"/>
    <s v="No"/>
    <n v="75"/>
    <x v="6"/>
    <x v="1"/>
    <x v="3"/>
    <x v="6"/>
  </r>
  <r>
    <n v="198"/>
    <s v="TEDHAVA"/>
    <x v="197"/>
    <s v="Satyabhama Chhotelal Harinkhede"/>
    <s v="Chhotelal"/>
    <x v="1"/>
    <s v="APL"/>
    <x v="5"/>
    <s v="Yes"/>
    <s v="Yes"/>
    <n v="41"/>
    <x v="59"/>
    <x v="3"/>
    <x v="0"/>
    <x v="56"/>
  </r>
  <r>
    <n v="199"/>
    <s v="TEDHAVA"/>
    <x v="198"/>
    <s v="Ajay Nawal Kawre"/>
    <s v="Nawal"/>
    <x v="0"/>
    <s v="APL"/>
    <x v="2"/>
    <s v="Yes"/>
    <s v="Yes"/>
    <n v="35"/>
    <x v="6"/>
    <x v="1"/>
    <x v="3"/>
    <x v="6"/>
  </r>
  <r>
    <n v="200"/>
    <s v="TEDHAVA"/>
    <x v="199"/>
    <s v="Sayavanta Tilakchand Turkar"/>
    <s v="Tilakchand"/>
    <x v="0"/>
    <s v="APL"/>
    <x v="0"/>
    <s v="Yes"/>
    <s v="Yes"/>
    <n v="53"/>
    <x v="89"/>
    <x v="0"/>
    <x v="5"/>
    <x v="8"/>
  </r>
  <r>
    <n v="201"/>
    <s v="TEDHAVA"/>
    <x v="200"/>
    <s v="Ajay Shivacharan Ghodeshwar"/>
    <s v="Shivacharan Ghodeshwar"/>
    <x v="0"/>
    <s v="BPL"/>
    <x v="6"/>
    <s v="No"/>
    <s v="No"/>
    <n v="51"/>
    <x v="90"/>
    <x v="2"/>
    <x v="0"/>
    <x v="12"/>
  </r>
  <r>
    <n v="202"/>
    <s v="TEDHAVA"/>
    <x v="201"/>
    <s v="Shakuntala Dhanlal Turkar"/>
    <s v="Dhanlal"/>
    <x v="0"/>
    <s v="APL"/>
    <x v="0"/>
    <s v="Yes"/>
    <s v="Yes"/>
    <n v="31"/>
    <x v="91"/>
    <x v="0"/>
    <x v="5"/>
    <x v="73"/>
  </r>
  <r>
    <n v="203"/>
    <s v="TEDHAVA"/>
    <x v="202"/>
    <s v="Akhadu Bhivram Ganvir"/>
    <s v="Bhivram Ganvir"/>
    <x v="0"/>
    <s v="BPL"/>
    <x v="6"/>
    <s v="No"/>
    <s v="No"/>
    <n v="28"/>
    <x v="92"/>
    <x v="0"/>
    <x v="0"/>
    <x v="74"/>
  </r>
  <r>
    <n v="204"/>
    <s v="TEDHAVA"/>
    <x v="203"/>
    <s v="Shalikram Dulichand Patle"/>
    <s v="Dulichand"/>
    <x v="0"/>
    <s v="APL"/>
    <x v="0"/>
    <s v="Yes"/>
    <s v="Yes"/>
    <n v="41"/>
    <x v="93"/>
    <x v="3"/>
    <x v="0"/>
    <x v="75"/>
  </r>
  <r>
    <n v="205"/>
    <s v="TEDHAVA"/>
    <x v="204"/>
    <s v="Amit Nihalchand Turkar"/>
    <s v="Nihalchand Turkar"/>
    <x v="0"/>
    <s v="APL"/>
    <x v="0"/>
    <s v="Yes"/>
    <s v="Yes"/>
    <n v="53"/>
    <x v="65"/>
    <x v="0"/>
    <x v="2"/>
    <x v="76"/>
  </r>
  <r>
    <n v="206"/>
    <s v="TEDHAVA"/>
    <x v="205"/>
    <s v="Shobharam Munilal Rahangadale"/>
    <s v="Munilal"/>
    <x v="0"/>
    <s v="APL"/>
    <x v="2"/>
    <s v="Yes"/>
    <s v="Yes"/>
    <n v="48"/>
    <x v="6"/>
    <x v="1"/>
    <x v="3"/>
    <x v="6"/>
  </r>
  <r>
    <n v="207"/>
    <s v="TEDHAVA"/>
    <x v="206"/>
    <s v="Amita Takre"/>
    <s v="Bhayalal"/>
    <x v="0"/>
    <s v="APL"/>
    <x v="5"/>
    <s v="Yes"/>
    <s v="Yes"/>
    <n v="40"/>
    <x v="94"/>
    <x v="3"/>
    <x v="0"/>
    <x v="77"/>
  </r>
  <r>
    <n v="208"/>
    <s v="TEDHAVA"/>
    <x v="207"/>
    <s v="Sonu Sobhelal Patle"/>
    <s v="Sobhelal"/>
    <x v="0"/>
    <s v="APL"/>
    <x v="0"/>
    <s v="Yes"/>
    <s v="Yes"/>
    <n v="64"/>
    <x v="95"/>
    <x v="3"/>
    <x v="1"/>
    <x v="78"/>
  </r>
  <r>
    <n v="209"/>
    <s v="TEDHAVA"/>
    <x v="208"/>
    <s v="Anandibai Nawal Matre"/>
    <s v="Nawal Matre"/>
    <x v="1"/>
    <s v="APL"/>
    <x v="2"/>
    <s v="Yes"/>
    <s v="Yes"/>
    <n v="35"/>
    <x v="6"/>
    <x v="1"/>
    <x v="3"/>
    <x v="6"/>
  </r>
  <r>
    <n v="210"/>
    <s v="TEDHAVA"/>
    <x v="209"/>
    <s v="Sukwanta Rambaks Rahangdale"/>
    <s v="Rambakas"/>
    <x v="1"/>
    <s v="APL"/>
    <x v="5"/>
    <s v="Yes"/>
    <s v="Yes"/>
    <n v="58"/>
    <x v="96"/>
    <x v="3"/>
    <x v="0"/>
    <x v="19"/>
  </r>
  <r>
    <n v="211"/>
    <s v="TEDHAVA"/>
    <x v="210"/>
    <s v="Anantram Bhiva Vasnik"/>
    <s v="Bhiva Vasnik"/>
    <x v="0"/>
    <s v="BPL"/>
    <x v="6"/>
    <s v="No"/>
    <s v="No"/>
    <n v="76"/>
    <x v="97"/>
    <x v="0"/>
    <x v="4"/>
    <x v="79"/>
  </r>
  <r>
    <n v="212"/>
    <s v="TEDHAVA"/>
    <x v="211"/>
    <s v="Sumanbai Bhivlal Patle"/>
    <s v="Bhivlal"/>
    <x v="1"/>
    <s v="APL"/>
    <x v="5"/>
    <s v="Yes"/>
    <s v="Yes"/>
    <n v="63"/>
    <x v="56"/>
    <x v="0"/>
    <x v="8"/>
    <x v="78"/>
  </r>
  <r>
    <n v="213"/>
    <s v="TEDHAVA"/>
    <x v="212"/>
    <s v="Anil Thakare"/>
    <s v="Fatulal"/>
    <x v="0"/>
    <s v="APL"/>
    <x v="0"/>
    <s v="Yes"/>
    <s v="Yes"/>
    <n v="57"/>
    <x v="60"/>
    <x v="3"/>
    <x v="7"/>
    <x v="32"/>
  </r>
  <r>
    <n v="214"/>
    <s v="TEDHAVA"/>
    <x v="213"/>
    <s v="Sunita Bhivaram Bisen"/>
    <s v="Bhivaram Bisen"/>
    <x v="1"/>
    <s v="APL"/>
    <x v="5"/>
    <s v="Yes"/>
    <s v="Yes"/>
    <n v="55"/>
    <x v="98"/>
    <x v="0"/>
    <x v="1"/>
    <x v="46"/>
  </r>
  <r>
    <n v="215"/>
    <s v="TEDHAVA"/>
    <x v="214"/>
    <s v="Anil Shobharam Matre"/>
    <s v="Shobharam"/>
    <x v="0"/>
    <s v="APL"/>
    <x v="2"/>
    <s v="Yes"/>
    <s v="Yes"/>
    <n v="27"/>
    <x v="6"/>
    <x v="1"/>
    <x v="3"/>
    <x v="6"/>
  </r>
  <r>
    <n v="216"/>
    <s v="TEDHAVA"/>
    <x v="215"/>
    <s v="Surajlal Jaglal Matre"/>
    <s v="Jaglal"/>
    <x v="0"/>
    <s v="BPL"/>
    <x v="3"/>
    <s v="Yes"/>
    <s v="No"/>
    <n v="35"/>
    <x v="99"/>
    <x v="0"/>
    <x v="0"/>
    <x v="80"/>
  </r>
  <r>
    <n v="217"/>
    <s v="TEDHAVA"/>
    <x v="216"/>
    <s v="Asaram Ramchand Matre"/>
    <s v="Ramchand"/>
    <x v="0"/>
    <s v="APL"/>
    <x v="2"/>
    <s v="Yes"/>
    <s v="Yes"/>
    <n v="36"/>
    <x v="6"/>
    <x v="1"/>
    <x v="3"/>
    <x v="6"/>
  </r>
  <r>
    <n v="218"/>
    <s v="TEDHAVA"/>
    <x v="217"/>
    <s v="Suresh Babulal Bisen"/>
    <s v="Babulal"/>
    <x v="0"/>
    <s v="APL"/>
    <x v="2"/>
    <s v="Yes"/>
    <s v="Yes"/>
    <n v="80"/>
    <x v="6"/>
    <x v="1"/>
    <x v="3"/>
    <x v="6"/>
  </r>
  <r>
    <n v="219"/>
    <s v="TEDHAVA"/>
    <x v="218"/>
    <s v="Asaram Suka Turkar"/>
    <s v="Suka Turkar"/>
    <x v="0"/>
    <s v="APL"/>
    <x v="2"/>
    <s v="Yes"/>
    <s v="Yes"/>
    <n v="78"/>
    <x v="6"/>
    <x v="1"/>
    <x v="3"/>
    <x v="6"/>
  </r>
  <r>
    <n v="220"/>
    <s v="TEDHAVA"/>
    <x v="219"/>
    <s v="Swami Jagalal Matare"/>
    <s v="Jagalal"/>
    <x v="0"/>
    <s v="BPL"/>
    <x v="3"/>
    <s v="Yes"/>
    <s v="Yes"/>
    <n v="81"/>
    <x v="100"/>
    <x v="0"/>
    <x v="0"/>
    <x v="29"/>
  </r>
  <r>
    <n v="221"/>
    <s v="TEDHAVA"/>
    <x v="220"/>
    <s v="Ashik Sukhadas Gajbhiye"/>
    <s v="Sukhadas Gajbhiye"/>
    <x v="0"/>
    <s v="BPL"/>
    <x v="6"/>
    <s v="Yes"/>
    <s v="Yes"/>
    <n v="66"/>
    <x v="101"/>
    <x v="0"/>
    <x v="0"/>
    <x v="69"/>
  </r>
  <r>
    <n v="222"/>
    <s v="TEDHAVA"/>
    <x v="221"/>
    <s v="Umedlal Brijlal Turkar"/>
    <s v="Brijla"/>
    <x v="0"/>
    <s v="APL"/>
    <x v="0"/>
    <s v="Yes"/>
    <s v="Yes"/>
    <n v="54"/>
    <x v="84"/>
    <x v="0"/>
    <x v="2"/>
    <x v="19"/>
  </r>
  <r>
    <n v="223"/>
    <s v="TEDHAVA"/>
    <x v="222"/>
    <s v="Ashok Adaku Vasnik"/>
    <s v="Adaku Vasnik"/>
    <x v="0"/>
    <s v="BPL"/>
    <x v="6"/>
    <s v="No"/>
    <s v="No"/>
    <n v="28"/>
    <x v="102"/>
    <x v="0"/>
    <x v="2"/>
    <x v="81"/>
  </r>
  <r>
    <n v="224"/>
    <s v="TEDHAVA"/>
    <x v="223"/>
    <s v="Vasantlal Dongaru Singadhupe"/>
    <s v="Dongaru"/>
    <x v="0"/>
    <s v="BPL"/>
    <x v="3"/>
    <s v="Yes"/>
    <s v="No"/>
    <n v="67"/>
    <x v="19"/>
    <x v="0"/>
    <x v="0"/>
    <x v="64"/>
  </r>
  <r>
    <n v="225"/>
    <s v="TEDHAVA"/>
    <x v="224"/>
    <s v="Ashok Laxaman Sonwane"/>
    <s v="Laxaman Sonwane"/>
    <x v="0"/>
    <s v="BPL"/>
    <x v="1"/>
    <s v="Yes"/>
    <s v="Yes"/>
    <n v="50"/>
    <x v="50"/>
    <x v="3"/>
    <x v="0"/>
    <x v="82"/>
  </r>
  <r>
    <n v="226"/>
    <s v="TEDHAVA"/>
    <x v="225"/>
    <s v="Yamanbai Ramlal Bisen"/>
    <s v="Ramlal"/>
    <x v="1"/>
    <s v="BPL"/>
    <x v="3"/>
    <s v="Yes"/>
    <s v="Yes"/>
    <n v="75"/>
    <x v="103"/>
    <x v="3"/>
    <x v="0"/>
    <x v="16"/>
  </r>
  <r>
    <n v="227"/>
    <s v="TEDHAVA"/>
    <x v="226"/>
    <s v="Ashokkumar Surajlal Borkar"/>
    <s v="Surajlal"/>
    <x v="0"/>
    <s v="APL"/>
    <x v="2"/>
    <s v="Yes"/>
    <s v="Yes"/>
    <n v="32"/>
    <x v="6"/>
    <x v="1"/>
    <x v="3"/>
    <x v="6"/>
  </r>
  <r>
    <n v="228"/>
    <s v="TEDHAVA"/>
    <x v="227"/>
    <s v="Zadu Kodusao Borkar"/>
    <s v="Kodusao"/>
    <x v="0"/>
    <s v="APL"/>
    <x v="2"/>
    <s v="Yes"/>
    <s v="Yes"/>
    <n v="34"/>
    <x v="6"/>
    <x v="1"/>
    <x v="3"/>
    <x v="6"/>
  </r>
  <r>
    <n v="229"/>
    <s v="TEDHAVA"/>
    <x v="228"/>
    <s v="Babulal Bandu Bisen"/>
    <s v="Bandu Bisen"/>
    <x v="0"/>
    <s v="APL"/>
    <x v="2"/>
    <s v="No"/>
    <s v="No"/>
    <n v="55"/>
    <x v="6"/>
    <x v="1"/>
    <x v="3"/>
    <x v="6"/>
  </r>
  <r>
    <n v="230"/>
    <s v="TEDHAVA"/>
    <x v="229"/>
    <s v="Babulal Fagalal Thakare"/>
    <s v="Fagalal"/>
    <x v="0"/>
    <s v="APL"/>
    <x v="0"/>
    <s v="Yes"/>
    <s v="Yes"/>
    <n v="40"/>
    <x v="104"/>
    <x v="3"/>
    <x v="4"/>
    <x v="83"/>
  </r>
  <r>
    <n v="231"/>
    <s v="TEDHAVA"/>
    <x v="230"/>
    <s v="Babulal Mayaram Tekam"/>
    <s v="Mayaram Tekam"/>
    <x v="0"/>
    <s v="APL"/>
    <x v="2"/>
    <s v="No"/>
    <s v="No"/>
    <n v="69"/>
    <x v="6"/>
    <x v="1"/>
    <x v="3"/>
    <x v="6"/>
  </r>
  <r>
    <n v="232"/>
    <s v="TEDHAVA"/>
    <x v="231"/>
    <s v="Babulal Saktu Kolhatkar"/>
    <s v="Saktu Kolhatkar"/>
    <x v="0"/>
    <s v="BPL"/>
    <x v="6"/>
    <s v="No"/>
    <s v="No"/>
    <n v="75"/>
    <x v="105"/>
    <x v="3"/>
    <x v="1"/>
    <x v="64"/>
  </r>
  <r>
    <n v="233"/>
    <s v="TEDHAVA"/>
    <x v="232"/>
    <s v="Babulal Tejalal Turkar"/>
    <s v="Tejalal Turkar"/>
    <x v="0"/>
    <s v="APL"/>
    <x v="2"/>
    <s v="Yes"/>
    <s v="Yes"/>
    <n v="37"/>
    <x v="6"/>
    <x v="1"/>
    <x v="3"/>
    <x v="6"/>
  </r>
  <r>
    <n v="234"/>
    <s v="TEDHAVA"/>
    <x v="233"/>
    <s v="Balchand Harichand Turkar"/>
    <s v="Harichand"/>
    <x v="0"/>
    <s v="BPL"/>
    <x v="3"/>
    <s v="Yes"/>
    <s v="Yes"/>
    <n v="49"/>
    <x v="24"/>
    <x v="3"/>
    <x v="5"/>
    <x v="38"/>
  </r>
  <r>
    <n v="235"/>
    <s v="TEDHAVA"/>
    <x v="234"/>
    <s v="Bansilal Hajari Singandhupe"/>
    <s v="Hajari Singandhupe"/>
    <x v="0"/>
    <s v="APL"/>
    <x v="2"/>
    <s v="Yes"/>
    <s v="Yes"/>
    <n v="48"/>
    <x v="6"/>
    <x v="1"/>
    <x v="3"/>
    <x v="6"/>
  </r>
  <r>
    <n v="236"/>
    <s v="TEDHAVA"/>
    <x v="235"/>
    <s v="Bansilal Hari Pihare"/>
    <s v="Hari Pihare"/>
    <x v="0"/>
    <s v="APL"/>
    <x v="1"/>
    <s v="Yes"/>
    <s v="Yes"/>
    <n v="64"/>
    <x v="106"/>
    <x v="0"/>
    <x v="0"/>
    <x v="84"/>
  </r>
  <r>
    <n v="237"/>
    <s v="TEDHAVA"/>
    <x v="236"/>
    <s v="Baranbai Beniram Ganvir"/>
    <s v="Beniram Ganvir"/>
    <x v="1"/>
    <s v="BPL"/>
    <x v="6"/>
    <s v="No"/>
    <s v="No"/>
    <n v="34"/>
    <x v="107"/>
    <x v="0"/>
    <x v="0"/>
    <x v="85"/>
  </r>
  <r>
    <n v="238"/>
    <s v="TEDHAVA"/>
    <x v="237"/>
    <s v="Baranbai Bewa Chandhu Turkar"/>
    <s v="Chandhu Turkar"/>
    <x v="1"/>
    <s v="APL"/>
    <x v="5"/>
    <s v="Yes"/>
    <s v="Yes"/>
    <n v="59"/>
    <x v="108"/>
    <x v="0"/>
    <x v="0"/>
    <x v="86"/>
  </r>
  <r>
    <n v="239"/>
    <s v="TEDHAVA"/>
    <x v="238"/>
    <s v="Basantabai Turkar"/>
    <s v="Gendlal"/>
    <x v="0"/>
    <s v="APL"/>
    <x v="5"/>
    <s v="Yes"/>
    <s v="Yes"/>
    <n v="72"/>
    <x v="1"/>
    <x v="0"/>
    <x v="0"/>
    <x v="87"/>
  </r>
  <r>
    <n v="240"/>
    <s v="TEDHAVA"/>
    <x v="239"/>
    <s v="Basantrai Jagalal Patle"/>
    <s v="Jagalal Patle"/>
    <x v="0"/>
    <s v="APL"/>
    <x v="2"/>
    <s v="Yes"/>
    <s v="Yes"/>
    <n v="36"/>
    <x v="6"/>
    <x v="1"/>
    <x v="3"/>
    <x v="6"/>
  </r>
  <r>
    <n v="241"/>
    <s v="TEDHAVA"/>
    <x v="240"/>
    <s v="Basantray Beniram Turkar"/>
    <s v="Beniram Turkar"/>
    <x v="0"/>
    <s v="APL"/>
    <x v="2"/>
    <s v="Yes"/>
    <s v="Yes"/>
    <n v="73"/>
    <x v="6"/>
    <x v="1"/>
    <x v="3"/>
    <x v="6"/>
  </r>
  <r>
    <n v="242"/>
    <s v="TEDHAVA"/>
    <x v="241"/>
    <s v="Baytra Dogaru Bisen"/>
    <s v="Dogaru Bisen"/>
    <x v="0"/>
    <s v="APL"/>
    <x v="0"/>
    <s v="Yes"/>
    <s v="Yes"/>
    <n v="32"/>
    <x v="109"/>
    <x v="0"/>
    <x v="1"/>
    <x v="88"/>
  </r>
  <r>
    <n v="243"/>
    <s v="TEDHAVA"/>
    <x v="242"/>
    <s v="Bhagawat Parsaram Ambadare"/>
    <s v="Parsaram Ambadare"/>
    <x v="0"/>
    <s v="BPL"/>
    <x v="1"/>
    <s v="No"/>
    <s v="No"/>
    <n v="28"/>
    <x v="110"/>
    <x v="0"/>
    <x v="1"/>
    <x v="11"/>
  </r>
  <r>
    <n v="244"/>
    <s v="TEDHAVA"/>
    <x v="243"/>
    <s v="Bhagawat Thuna Kolhatkar"/>
    <s v="Thuna Kolhatkar"/>
    <x v="0"/>
    <s v="BPL"/>
    <x v="6"/>
    <s v="No"/>
    <s v="No"/>
    <n v="74"/>
    <x v="111"/>
    <x v="0"/>
    <x v="0"/>
    <x v="89"/>
  </r>
  <r>
    <n v="245"/>
    <s v="TEDHAVA"/>
    <x v="244"/>
    <s v="Bhakachand Rupchand Sonwane"/>
    <s v="Rupchand Sonwane"/>
    <x v="0"/>
    <s v="BPL"/>
    <x v="1"/>
    <s v="No"/>
    <s v="No"/>
    <n v="28"/>
    <x v="112"/>
    <x v="0"/>
    <x v="4"/>
    <x v="21"/>
  </r>
  <r>
    <n v="246"/>
    <s v="TEDHAVA"/>
    <x v="245"/>
    <s v="Bhakchand Rupchand Sonawane"/>
    <s v="Rupchand"/>
    <x v="0"/>
    <s v="BPL"/>
    <x v="3"/>
    <s v="Yes"/>
    <s v="Yes"/>
    <n v="85"/>
    <x v="113"/>
    <x v="0"/>
    <x v="7"/>
    <x v="90"/>
  </r>
  <r>
    <n v="247"/>
    <s v="TEDHAVA"/>
    <x v="246"/>
    <s v="Bharat Sadu Sonwane"/>
    <s v="Sadu Sonwane"/>
    <x v="0"/>
    <s v="BPL"/>
    <x v="1"/>
    <s v="No"/>
    <s v="No"/>
    <n v="78"/>
    <x v="46"/>
    <x v="0"/>
    <x v="0"/>
    <x v="81"/>
  </r>
  <r>
    <n v="248"/>
    <s v="TEDHAVA"/>
    <x v="247"/>
    <s v="Bhaudas Chandhu Ganvir"/>
    <s v="Chandhu Ganvir"/>
    <x v="0"/>
    <s v="BPL"/>
    <x v="6"/>
    <s v="No"/>
    <s v="No"/>
    <n v="47"/>
    <x v="75"/>
    <x v="0"/>
    <x v="0"/>
    <x v="91"/>
  </r>
  <r>
    <n v="249"/>
    <s v="TEDHAVA"/>
    <x v="248"/>
    <s v="Bhaulal Lahuram Meshram"/>
    <s v="Lahuram Meshram"/>
    <x v="0"/>
    <s v="BPL"/>
    <x v="6"/>
    <s v="No"/>
    <s v="No"/>
    <n v="72"/>
    <x v="17"/>
    <x v="0"/>
    <x v="0"/>
    <x v="26"/>
  </r>
  <r>
    <n v="250"/>
    <s v="TEDHAVA"/>
    <x v="249"/>
    <s v="Bhaulal Mithuji Rahangadale"/>
    <s v="Mithuji Rahangadale"/>
    <x v="0"/>
    <s v="APL"/>
    <x v="0"/>
    <s v="Yes"/>
    <s v="Yes"/>
    <n v="72"/>
    <x v="92"/>
    <x v="0"/>
    <x v="0"/>
    <x v="92"/>
  </r>
  <r>
    <n v="251"/>
    <s v="TEDHAVA"/>
    <x v="250"/>
    <s v="Bhaulal Narayan"/>
    <s v="Narayan Bisen"/>
    <x v="0"/>
    <s v="APL"/>
    <x v="0"/>
    <s v="No"/>
    <s v="No"/>
    <n v="37"/>
    <x v="114"/>
    <x v="0"/>
    <x v="0"/>
    <x v="16"/>
  </r>
  <r>
    <n v="252"/>
    <s v="TEDHAVA"/>
    <x v="251"/>
    <s v="Bhaulal Narayan Bisen"/>
    <s v="Narayan Bisen"/>
    <x v="0"/>
    <s v="APL"/>
    <x v="0"/>
    <s v="Yes"/>
    <s v="Yes"/>
    <n v="60"/>
    <x v="115"/>
    <x v="2"/>
    <x v="4"/>
    <x v="93"/>
  </r>
  <r>
    <n v="253"/>
    <s v="TEDHAVA"/>
    <x v="252"/>
    <s v="Bhaulal Rajaram Turkar"/>
    <s v="Rajaram Turkar"/>
    <x v="0"/>
    <s v="APL"/>
    <x v="0"/>
    <s v="No"/>
    <s v="No"/>
    <n v="27"/>
    <x v="116"/>
    <x v="0"/>
    <x v="0"/>
    <x v="63"/>
  </r>
  <r>
    <n v="254"/>
    <s v="TEDHAVA"/>
    <x v="253"/>
    <s v="Bhayyalal Mohanlal Turkar"/>
    <s v="Mohanlal Turkar"/>
    <x v="0"/>
    <s v="APL"/>
    <x v="2"/>
    <s v="Yes"/>
    <s v="Yes"/>
    <n v="40"/>
    <x v="6"/>
    <x v="1"/>
    <x v="3"/>
    <x v="6"/>
  </r>
  <r>
    <n v="255"/>
    <s v="TEDHAVA"/>
    <x v="254"/>
    <s v="Bhivalal Munnalal Dudhabavane"/>
    <s v="Munnalal Dudhabavane"/>
    <x v="0"/>
    <s v="APL"/>
    <x v="0"/>
    <s v="Yes"/>
    <s v="Yes"/>
    <n v="36"/>
    <x v="91"/>
    <x v="3"/>
    <x v="0"/>
    <x v="3"/>
  </r>
  <r>
    <n v="256"/>
    <s v="TEDHAVA"/>
    <x v="255"/>
    <s v="Bhivalal Tantu Patle"/>
    <s v="Tantu Patle"/>
    <x v="0"/>
    <s v="APL"/>
    <x v="0"/>
    <s v="Yes"/>
    <s v="Yes"/>
    <n v="51"/>
    <x v="94"/>
    <x v="0"/>
    <x v="1"/>
    <x v="94"/>
  </r>
  <r>
    <n v="257"/>
    <s v="TEDHAVA"/>
    <x v="256"/>
    <s v="Bhivaram Asaram Bisen"/>
    <s v="Asaram Bisen"/>
    <x v="0"/>
    <s v="APL"/>
    <x v="2"/>
    <s v="Yes"/>
    <s v="Yes"/>
    <n v="41"/>
    <x v="6"/>
    <x v="1"/>
    <x v="3"/>
    <x v="6"/>
  </r>
  <r>
    <n v="258"/>
    <s v="TEDHAVA"/>
    <x v="257"/>
    <s v="Bhivlal Bhika Bisen"/>
    <s v="Bhika Bisen"/>
    <x v="0"/>
    <s v="APL"/>
    <x v="0"/>
    <s v="Yes"/>
    <s v="Yes"/>
    <n v="82"/>
    <x v="117"/>
    <x v="0"/>
    <x v="1"/>
    <x v="95"/>
  </r>
  <r>
    <n v="259"/>
    <s v="TEDHAVA"/>
    <x v="258"/>
    <s v="Bhiwalal Hiramansao Bijewar"/>
    <s v="Hiramansao Bijewar"/>
    <x v="0"/>
    <s v="APL"/>
    <x v="2"/>
    <s v="Yes"/>
    <s v="Yes"/>
    <n v="55"/>
    <x v="6"/>
    <x v="1"/>
    <x v="3"/>
    <x v="6"/>
  </r>
  <r>
    <n v="260"/>
    <s v="TEDHAVA"/>
    <x v="259"/>
    <s v="Bhojalal Tularam Turkar"/>
    <s v="Tularam Turkar"/>
    <x v="0"/>
    <s v="APL"/>
    <x v="2"/>
    <s v="Yes"/>
    <s v="Yes"/>
    <n v="34"/>
    <x v="6"/>
    <x v="1"/>
    <x v="3"/>
    <x v="6"/>
  </r>
  <r>
    <n v="261"/>
    <s v="TEDHAVA"/>
    <x v="260"/>
    <s v="Bhojlal Naru Mane"/>
    <s v="Naru"/>
    <x v="0"/>
    <s v="APL"/>
    <x v="2"/>
    <s v="Yes"/>
    <s v="Yes"/>
    <n v="50"/>
    <x v="6"/>
    <x v="1"/>
    <x v="3"/>
    <x v="6"/>
  </r>
  <r>
    <n v="262"/>
    <s v="TEDHAVA"/>
    <x v="261"/>
    <s v="Bhulal Brijalal Turkar"/>
    <s v="Brijalal Turkar"/>
    <x v="0"/>
    <s v="APL"/>
    <x v="4"/>
    <s v="No"/>
    <s v="No"/>
    <n v="82"/>
    <x v="118"/>
    <x v="0"/>
    <x v="1"/>
    <x v="41"/>
  </r>
  <r>
    <n v="263"/>
    <s v="TEDHAVA"/>
    <x v="262"/>
    <s v="Bhumaki Gautam Raut"/>
    <s v="Gautam Raut"/>
    <x v="0"/>
    <s v="BPL"/>
    <x v="6"/>
    <s v="No"/>
    <s v="No"/>
    <n v="67"/>
    <x v="119"/>
    <x v="3"/>
    <x v="0"/>
    <x v="38"/>
  </r>
  <r>
    <n v="264"/>
    <s v="TEDHAVA"/>
    <x v="263"/>
    <s v="Bhumeshwar Goma Hatele"/>
    <s v="Goma Hatele"/>
    <x v="0"/>
    <s v="APL"/>
    <x v="2"/>
    <s v="Yes"/>
    <s v="Yes"/>
    <n v="61"/>
    <x v="6"/>
    <x v="1"/>
    <x v="3"/>
    <x v="6"/>
  </r>
  <r>
    <n v="265"/>
    <s v="TEDHAVA"/>
    <x v="264"/>
    <s v="Bhumeshwar Hemraj Thakare"/>
    <s v="Hemraj"/>
    <x v="0"/>
    <s v="APL"/>
    <x v="2"/>
    <s v="Yes"/>
    <s v="Yes"/>
    <n v="68"/>
    <x v="6"/>
    <x v="1"/>
    <x v="3"/>
    <x v="6"/>
  </r>
  <r>
    <n v="266"/>
    <s v="TEDHAVA"/>
    <x v="265"/>
    <s v="Bhumeshwar Hemraj Thakare"/>
    <s v="Hemraj Thakare"/>
    <x v="0"/>
    <s v="APL"/>
    <x v="0"/>
    <s v="No"/>
    <s v="No"/>
    <n v="40"/>
    <x v="87"/>
    <x v="2"/>
    <x v="1"/>
    <x v="96"/>
  </r>
  <r>
    <n v="267"/>
    <s v="TEDHAVA"/>
    <x v="266"/>
    <s v="Bhurya Kawadu Sonwane"/>
    <s v="Kawadu Sonwane"/>
    <x v="0"/>
    <s v="BPL"/>
    <x v="1"/>
    <s v="Yes"/>
    <s v="Yes"/>
    <n v="35"/>
    <x v="120"/>
    <x v="3"/>
    <x v="2"/>
    <x v="21"/>
  </r>
  <r>
    <n v="268"/>
    <s v="TEDHAVA"/>
    <x v="267"/>
    <s v="Binzwar Matre"/>
    <s v="Badati"/>
    <x v="0"/>
    <s v="APL"/>
    <x v="0"/>
    <s v="Yes"/>
    <s v="Yes"/>
    <n v="68"/>
    <x v="121"/>
    <x v="0"/>
    <x v="2"/>
    <x v="47"/>
  </r>
  <r>
    <n v="269"/>
    <s v="TEDHAVA"/>
    <x v="15"/>
    <s v="Biru Hagaru Pache"/>
    <s v="Hagaru"/>
    <x v="0"/>
    <s v="APL"/>
    <x v="2"/>
    <s v="Yes"/>
    <s v="Yes"/>
    <n v="35"/>
    <x v="6"/>
    <x v="1"/>
    <x v="3"/>
    <x v="6"/>
  </r>
  <r>
    <n v="270"/>
    <s v="TEDHAVA"/>
    <x v="268"/>
    <s v="Bisaram Pirmalal Amabadare"/>
    <s v="Pirmalal Amabadare"/>
    <x v="0"/>
    <s v="APL"/>
    <x v="2"/>
    <s v="Yes"/>
    <s v="Yes"/>
    <n v="49"/>
    <x v="6"/>
    <x v="1"/>
    <x v="3"/>
    <x v="6"/>
  </r>
  <r>
    <n v="271"/>
    <s v="TEDHAVA"/>
    <x v="269"/>
    <s v="Biyam Sukalal Turkar"/>
    <s v="Sukalal Turkar"/>
    <x v="0"/>
    <s v="APL"/>
    <x v="0"/>
    <s v="Yes"/>
    <s v="Yes"/>
    <n v="72"/>
    <x v="72"/>
    <x v="0"/>
    <x v="0"/>
    <x v="97"/>
  </r>
  <r>
    <n v="272"/>
    <s v="TEDHAVA"/>
    <x v="270"/>
    <s v="Brijalal Bandu Bisen"/>
    <s v="Bandu Bisen"/>
    <x v="0"/>
    <s v="APL"/>
    <x v="2"/>
    <s v="No"/>
    <s v="No"/>
    <n v="59"/>
    <x v="6"/>
    <x v="1"/>
    <x v="3"/>
    <x v="6"/>
  </r>
  <r>
    <n v="273"/>
    <s v="TEDHAVA"/>
    <x v="271"/>
    <s v="Brijalal Bhudhusaw Borkar"/>
    <s v="Bhudhusaw Borkar"/>
    <x v="0"/>
    <s v="APL"/>
    <x v="0"/>
    <s v="Yes"/>
    <s v="Yes"/>
    <n v="31"/>
    <x v="122"/>
    <x v="0"/>
    <x v="2"/>
    <x v="98"/>
  </r>
  <r>
    <n v="274"/>
    <s v="TEDHAVA"/>
    <x v="272"/>
    <s v="Buvalal Babulal Turkar"/>
    <s v="Babulal Turkar"/>
    <x v="0"/>
    <s v="APL"/>
    <x v="2"/>
    <s v="Yes"/>
    <s v="Yes"/>
    <n v="34"/>
    <x v="6"/>
    <x v="1"/>
    <x v="3"/>
    <x v="6"/>
  </r>
  <r>
    <n v="275"/>
    <s v="TEDHAVA"/>
    <x v="273"/>
    <s v="Chainalal Premalal Rinayat"/>
    <s v="Premalal Rinayat"/>
    <x v="0"/>
    <s v="APL"/>
    <x v="0"/>
    <s v="Yes"/>
    <s v="Yes"/>
    <n v="54"/>
    <x v="17"/>
    <x v="0"/>
    <x v="7"/>
    <x v="99"/>
  </r>
  <r>
    <n v="276"/>
    <s v="TEDHAVA"/>
    <x v="274"/>
    <s v="Chambharu Fadis Matre"/>
    <s v="Fadis Matre"/>
    <x v="0"/>
    <s v="APL"/>
    <x v="0"/>
    <s v="No"/>
    <s v="No"/>
    <n v="55"/>
    <x v="123"/>
    <x v="3"/>
    <x v="0"/>
    <x v="41"/>
  </r>
  <r>
    <n v="277"/>
    <s v="TEDHAVA"/>
    <x v="275"/>
    <s v="Chamrulal Puranalal Shribhadri"/>
    <s v="Puranalal Shribhadri"/>
    <x v="0"/>
    <s v="APL"/>
    <x v="0"/>
    <s v="Yes"/>
    <s v="Yes"/>
    <n v="65"/>
    <x v="124"/>
    <x v="0"/>
    <x v="0"/>
    <x v="100"/>
  </r>
  <r>
    <n v="278"/>
    <s v="TEDHAVA"/>
    <x v="276"/>
    <s v="Chandan Fadis Matre"/>
    <s v="Fadis Matre"/>
    <x v="0"/>
    <s v="APL"/>
    <x v="2"/>
    <s v="No"/>
    <s v="No"/>
    <n v="42"/>
    <x v="6"/>
    <x v="1"/>
    <x v="3"/>
    <x v="6"/>
  </r>
  <r>
    <n v="279"/>
    <s v="TEDHAVA"/>
    <x v="277"/>
    <s v="Chandrakalabai Gunwantrai Gite"/>
    <s v="Gunwantrai Gite"/>
    <x v="1"/>
    <s v="APL"/>
    <x v="5"/>
    <s v="Yes"/>
    <s v="Yes"/>
    <n v="52"/>
    <x v="125"/>
    <x v="0"/>
    <x v="4"/>
    <x v="56"/>
  </r>
  <r>
    <n v="280"/>
    <s v="TEDHAVA"/>
    <x v="278"/>
    <s v="Chandrasen Jiyalal Ganvir"/>
    <s v="Jiyalal Ganvir"/>
    <x v="0"/>
    <s v="BPL"/>
    <x v="6"/>
    <s v="No"/>
    <s v="No"/>
    <n v="34"/>
    <x v="92"/>
    <x v="0"/>
    <x v="2"/>
    <x v="93"/>
  </r>
  <r>
    <n v="281"/>
    <s v="TEDHAVA"/>
    <x v="279"/>
    <s v="Chandu Ghansyam Pache"/>
    <s v="Ghansyam Pache"/>
    <x v="0"/>
    <s v="APL"/>
    <x v="0"/>
    <s v="Yes"/>
    <s v="Yes"/>
    <n v="59"/>
    <x v="41"/>
    <x v="2"/>
    <x v="0"/>
    <x v="101"/>
  </r>
  <r>
    <n v="282"/>
    <s v="TEDHAVA"/>
    <x v="280"/>
    <s v="Chandu Kisan Meshram"/>
    <s v="Kisan Meshram"/>
    <x v="0"/>
    <s v="BPL"/>
    <x v="1"/>
    <s v="No"/>
    <s v="No"/>
    <n v="53"/>
    <x v="37"/>
    <x v="0"/>
    <x v="5"/>
    <x v="102"/>
  </r>
  <r>
    <n v="283"/>
    <s v="TEDHAVA"/>
    <x v="281"/>
    <s v="Chandu Thuna Neware"/>
    <s v="Thuna Neware"/>
    <x v="0"/>
    <s v="APL"/>
    <x v="2"/>
    <s v="No"/>
    <s v="No"/>
    <n v="71"/>
    <x v="6"/>
    <x v="1"/>
    <x v="3"/>
    <x v="6"/>
  </r>
  <r>
    <n v="284"/>
    <s v="TEDHAVA"/>
    <x v="282"/>
    <s v="Chandulal Bika Bisen"/>
    <s v="Bika Bisen"/>
    <x v="0"/>
    <s v="BPL"/>
    <x v="3"/>
    <s v="Yes"/>
    <s v="Yes"/>
    <n v="66"/>
    <x v="126"/>
    <x v="0"/>
    <x v="5"/>
    <x v="92"/>
  </r>
  <r>
    <n v="285"/>
    <s v="TEDHAVA"/>
    <x v="283"/>
    <s v="Changula Babulal Kolhatkar"/>
    <s v="Babulal"/>
    <x v="1"/>
    <s v="APL"/>
    <x v="5"/>
    <s v="Yes"/>
    <s v="Yes"/>
    <n v="33"/>
    <x v="127"/>
    <x v="0"/>
    <x v="0"/>
    <x v="95"/>
  </r>
  <r>
    <n v="286"/>
    <s v="TEDHAVA"/>
    <x v="284"/>
    <s v="Channulal Turkar"/>
    <s v="Lakshaman"/>
    <x v="0"/>
    <s v="APL"/>
    <x v="0"/>
    <s v="Yes"/>
    <s v="Yes"/>
    <n v="43"/>
    <x v="128"/>
    <x v="0"/>
    <x v="2"/>
    <x v="12"/>
  </r>
  <r>
    <n v="287"/>
    <s v="TEDHAVA"/>
    <x v="285"/>
    <s v="Charandas Chambharu Kolhatkar"/>
    <s v="Chambharu Kolhatkar"/>
    <x v="0"/>
    <s v="BPL"/>
    <x v="6"/>
    <s v="No"/>
    <s v="No"/>
    <n v="42"/>
    <x v="129"/>
    <x v="0"/>
    <x v="1"/>
    <x v="103"/>
  </r>
  <r>
    <n v="288"/>
    <s v="TEDHAVA"/>
    <x v="286"/>
    <s v="Charandas Premalal Choude"/>
    <s v="Premalal Choude"/>
    <x v="0"/>
    <s v="BPL"/>
    <x v="6"/>
    <s v="No"/>
    <s v="No"/>
    <n v="69"/>
    <x v="128"/>
    <x v="0"/>
    <x v="4"/>
    <x v="12"/>
  </r>
  <r>
    <n v="289"/>
    <s v="TEDHAVA"/>
    <x v="287"/>
    <s v="Chaturgan Arjun Turkar"/>
    <s v="Arjun"/>
    <x v="0"/>
    <s v="APL"/>
    <x v="2"/>
    <s v="Yes"/>
    <s v="Yes"/>
    <n v="72"/>
    <x v="6"/>
    <x v="1"/>
    <x v="3"/>
    <x v="6"/>
  </r>
  <r>
    <n v="290"/>
    <s v="TEDHAVA"/>
    <x v="21"/>
    <s v="Chautaman Shravan Kolhatkar"/>
    <s v="Shravan"/>
    <x v="0"/>
    <s v="APL"/>
    <x v="2"/>
    <s v="Yes"/>
    <s v="Yes"/>
    <n v="59"/>
    <x v="6"/>
    <x v="1"/>
    <x v="3"/>
    <x v="6"/>
  </r>
  <r>
    <n v="291"/>
    <s v="TEDHAVA"/>
    <x v="288"/>
    <s v="Chenlal Turkar"/>
    <s v="Tejlal"/>
    <x v="0"/>
    <s v="APL"/>
    <x v="2"/>
    <s v="Yes"/>
    <s v="Yes"/>
    <n v="39"/>
    <x v="6"/>
    <x v="1"/>
    <x v="3"/>
    <x v="6"/>
  </r>
  <r>
    <n v="292"/>
    <s v="TEDHAVA"/>
    <x v="289"/>
    <s v="Chetan Nawal Matre"/>
    <s v="Nawal Matre"/>
    <x v="0"/>
    <s v="APL"/>
    <x v="2"/>
    <s v="No"/>
    <s v="No"/>
    <n v="62"/>
    <x v="6"/>
    <x v="1"/>
    <x v="3"/>
    <x v="6"/>
  </r>
  <r>
    <n v="293"/>
    <s v="TEDHAVA"/>
    <x v="290"/>
    <s v="Chhabilal Laxman Turkar"/>
    <s v="Laxman"/>
    <x v="0"/>
    <s v="APL"/>
    <x v="2"/>
    <s v="Yes"/>
    <s v="Yes"/>
    <n v="43"/>
    <x v="6"/>
    <x v="1"/>
    <x v="3"/>
    <x v="6"/>
  </r>
  <r>
    <n v="294"/>
    <s v="TEDHAVA"/>
    <x v="291"/>
    <s v="Chhaganlal Turkar"/>
    <s v="Laxman"/>
    <x v="0"/>
    <s v="APL"/>
    <x v="0"/>
    <s v="Yes"/>
    <s v="Yes"/>
    <n v="39"/>
    <x v="130"/>
    <x v="2"/>
    <x v="0"/>
    <x v="104"/>
  </r>
  <r>
    <n v="295"/>
    <s v="TEDHAVA"/>
    <x v="292"/>
    <s v="Chhaganprasad Yadoprasad Pande"/>
    <s v="Yadoprasad Pande"/>
    <x v="0"/>
    <s v="BPL"/>
    <x v="3"/>
    <s v="No"/>
    <s v="No"/>
    <n v="53"/>
    <x v="1"/>
    <x v="0"/>
    <x v="1"/>
    <x v="99"/>
  </r>
  <r>
    <n v="296"/>
    <s v="TEDHAVA"/>
    <x v="293"/>
    <s v="Chhanganlal Premalal Rinayat"/>
    <s v="Premalal Rinayat"/>
    <x v="0"/>
    <s v="APL"/>
    <x v="2"/>
    <s v="Yes"/>
    <s v="Yes"/>
    <n v="72"/>
    <x v="6"/>
    <x v="1"/>
    <x v="3"/>
    <x v="6"/>
  </r>
  <r>
    <n v="297"/>
    <s v="TEDHAVA"/>
    <x v="294"/>
    <s v="Chhatrapti Maniram Dhuware"/>
    <s v="Maniram Dhuware"/>
    <x v="0"/>
    <s v="APL"/>
    <x v="0"/>
    <s v="Yes"/>
    <s v="Yes"/>
    <n v="52"/>
    <x v="131"/>
    <x v="0"/>
    <x v="2"/>
    <x v="89"/>
  </r>
  <r>
    <n v="298"/>
    <s v="TEDHAVA"/>
    <x v="295"/>
    <s v="Chhotelal Bhaiyyalal Bisen"/>
    <s v="Bhaiyyalal Bisen"/>
    <x v="0"/>
    <s v="APL"/>
    <x v="0"/>
    <s v="No"/>
    <s v="No"/>
    <n v="42"/>
    <x v="132"/>
    <x v="0"/>
    <x v="0"/>
    <x v="105"/>
  </r>
  <r>
    <n v="299"/>
    <s v="TEDHAVA"/>
    <x v="296"/>
    <s v="Chhotelal Bholaram Rane"/>
    <s v="Bholaram Rane"/>
    <x v="0"/>
    <s v="APL"/>
    <x v="0"/>
    <s v="Yes"/>
    <s v="Yes"/>
    <n v="65"/>
    <x v="133"/>
    <x v="0"/>
    <x v="1"/>
    <x v="106"/>
  </r>
  <r>
    <n v="300"/>
    <s v="TEDHAVA"/>
    <x v="297"/>
    <s v="Chhotelal Lakhan Matre"/>
    <s v="Lakhan"/>
    <x v="0"/>
    <s v="APL"/>
    <x v="2"/>
    <s v="Yes"/>
    <s v="Yes"/>
    <n v="63"/>
    <x v="6"/>
    <x v="1"/>
    <x v="3"/>
    <x v="6"/>
  </r>
  <r>
    <n v="301"/>
    <s v="TEDHAVA"/>
    <x v="27"/>
    <s v="Chintaman Mayaram Bisen"/>
    <s v="Mayaram"/>
    <x v="0"/>
    <s v="APL"/>
    <x v="2"/>
    <s v="Yes"/>
    <s v="Yes"/>
    <n v="37"/>
    <x v="6"/>
    <x v="1"/>
    <x v="3"/>
    <x v="6"/>
  </r>
  <r>
    <n v="302"/>
    <s v="TEDHAVA"/>
    <x v="298"/>
    <s v="Chitaman Bandu Bisen"/>
    <s v="Bandu Bisen"/>
    <x v="0"/>
    <s v="APL"/>
    <x v="0"/>
    <s v="Yes"/>
    <s v="Yes"/>
    <n v="37"/>
    <x v="134"/>
    <x v="0"/>
    <x v="6"/>
    <x v="53"/>
  </r>
  <r>
    <n v="303"/>
    <s v="TEDHAVA"/>
    <x v="299"/>
    <s v="Chitrabai Bewa Rajkumar Kolhatkar"/>
    <s v="Rajkumar Kolhatk"/>
    <x v="1"/>
    <s v="BPL"/>
    <x v="6"/>
    <s v="Yes"/>
    <s v="Yes"/>
    <n v="33"/>
    <x v="135"/>
    <x v="3"/>
    <x v="0"/>
    <x v="39"/>
  </r>
  <r>
    <n v="304"/>
    <s v="TEDHAVA"/>
    <x v="300"/>
    <s v="Chitrarekaha Khurmilal Turkar"/>
    <s v="Dulichand Khadekar"/>
    <x v="1"/>
    <s v="APL"/>
    <x v="5"/>
    <s v="No"/>
    <s v="No"/>
    <n v="42"/>
    <x v="136"/>
    <x v="0"/>
    <x v="1"/>
    <x v="107"/>
  </r>
  <r>
    <n v="305"/>
    <s v="TEDHAVA"/>
    <x v="29"/>
    <s v="Chunnilal Gautam Meshram"/>
    <s v="Gautam"/>
    <x v="0"/>
    <s v="BPL"/>
    <x v="3"/>
    <s v="Yes"/>
    <s v="No"/>
    <n v="47"/>
    <x v="137"/>
    <x v="0"/>
    <x v="1"/>
    <x v="39"/>
  </r>
  <r>
    <n v="306"/>
    <s v="TEDHAVA"/>
    <x v="301"/>
    <s v="Chunnilal Antram Turkar"/>
    <s v="Antram Turkar"/>
    <x v="0"/>
    <s v="APL"/>
    <x v="0"/>
    <s v="Yes"/>
    <s v="Yes"/>
    <n v="76"/>
    <x v="21"/>
    <x v="0"/>
    <x v="0"/>
    <x v="108"/>
  </r>
  <r>
    <n v="307"/>
    <s v="TEDHAVA"/>
    <x v="302"/>
    <s v="Dalapat Jivan Turkar"/>
    <s v="Jivan Turkar"/>
    <x v="0"/>
    <s v="APL"/>
    <x v="2"/>
    <s v="Yes"/>
    <s v="Yes"/>
    <n v="58"/>
    <x v="6"/>
    <x v="1"/>
    <x v="3"/>
    <x v="6"/>
  </r>
  <r>
    <n v="308"/>
    <s v="TEDHAVA"/>
    <x v="303"/>
    <s v="Dariyasao Rajaram Bijewar"/>
    <s v="Rajaram Bijewar"/>
    <x v="0"/>
    <s v="APL"/>
    <x v="0"/>
    <s v="Yes"/>
    <s v="Yes"/>
    <n v="36"/>
    <x v="115"/>
    <x v="0"/>
    <x v="6"/>
    <x v="40"/>
  </r>
  <r>
    <n v="309"/>
    <s v="TEDHAVA"/>
    <x v="304"/>
    <s v="Dasaram Ramlal Turkar"/>
    <s v="Ramlal Turkar"/>
    <x v="0"/>
    <s v="APL"/>
    <x v="0"/>
    <s v="Yes"/>
    <s v="Yes"/>
    <n v="32"/>
    <x v="138"/>
    <x v="0"/>
    <x v="0"/>
    <x v="44"/>
  </r>
  <r>
    <n v="310"/>
    <s v="TEDHAVA"/>
    <x v="305"/>
    <s v="Dasarath Narayan Matre"/>
    <s v="Narayan Matre"/>
    <x v="0"/>
    <s v="APL"/>
    <x v="0"/>
    <s v="No"/>
    <s v="No"/>
    <n v="66"/>
    <x v="47"/>
    <x v="3"/>
    <x v="4"/>
    <x v="12"/>
  </r>
  <r>
    <n v="311"/>
    <s v="TEDHAVA"/>
    <x v="306"/>
    <s v="Daulatprasad Sudarlal Pande"/>
    <s v="Sudarlal Pande"/>
    <x v="0"/>
    <s v="BPL"/>
    <x v="3"/>
    <s v="No"/>
    <s v="No"/>
    <n v="59"/>
    <x v="139"/>
    <x v="0"/>
    <x v="6"/>
    <x v="109"/>
  </r>
  <r>
    <n v="312"/>
    <s v="TEDHAVA"/>
    <x v="307"/>
    <s v="Dauvalat Gariba Turkar"/>
    <s v="Gariba Turkar"/>
    <x v="0"/>
    <s v="APL"/>
    <x v="0"/>
    <s v="Yes"/>
    <s v="Yes"/>
    <n v="65"/>
    <x v="140"/>
    <x v="3"/>
    <x v="2"/>
    <x v="68"/>
  </r>
  <r>
    <n v="313"/>
    <s v="TEDHAVA"/>
    <x v="308"/>
    <s v="Debilal Premlal Dhuware"/>
    <s v="Premlal Dhuware"/>
    <x v="0"/>
    <s v="APL"/>
    <x v="0"/>
    <s v="Yes"/>
    <s v="Yes"/>
    <n v="29"/>
    <x v="127"/>
    <x v="3"/>
    <x v="0"/>
    <x v="110"/>
  </r>
  <r>
    <n v="314"/>
    <s v="TEDHAVA"/>
    <x v="309"/>
    <s v="Devadas Dhundha Kolhatkar"/>
    <s v="Dhundha Kolhatkar"/>
    <x v="0"/>
    <s v="APL"/>
    <x v="2"/>
    <s v="Yes"/>
    <s v="Yes"/>
    <n v="73"/>
    <x v="6"/>
    <x v="1"/>
    <x v="3"/>
    <x v="6"/>
  </r>
  <r>
    <n v="315"/>
    <s v="TEDHAVA"/>
    <x v="310"/>
    <s v="Devakanbai Gokulsao Bisen"/>
    <s v="Gokulsao Bisen"/>
    <x v="1"/>
    <s v="APL"/>
    <x v="5"/>
    <s v="Yes"/>
    <s v="Yes"/>
    <n v="27"/>
    <x v="141"/>
    <x v="0"/>
    <x v="0"/>
    <x v="32"/>
  </r>
  <r>
    <n v="316"/>
    <s v="TEDHAVA"/>
    <x v="35"/>
    <s v="Devaram Asaram Bisen"/>
    <s v="Asaram"/>
    <x v="0"/>
    <s v="APL"/>
    <x v="2"/>
    <s v="Yes"/>
    <s v="Yes"/>
    <n v="83"/>
    <x v="6"/>
    <x v="1"/>
    <x v="3"/>
    <x v="6"/>
  </r>
  <r>
    <n v="317"/>
    <s v="TEDHAVA"/>
    <x v="311"/>
    <s v="Devaram Dariyav Bijewar"/>
    <s v="Dariyav"/>
    <x v="0"/>
    <s v="APL"/>
    <x v="2"/>
    <s v="Yes"/>
    <s v="Yes"/>
    <n v="46"/>
    <x v="6"/>
    <x v="1"/>
    <x v="3"/>
    <x v="6"/>
  </r>
  <r>
    <n v="318"/>
    <s v="TEDHAVA"/>
    <x v="312"/>
    <s v="Devendra Modku Rahangdale"/>
    <s v="Modku"/>
    <x v="0"/>
    <s v="APL"/>
    <x v="2"/>
    <s v="Yes"/>
    <s v="Yes"/>
    <n v="45"/>
    <x v="6"/>
    <x v="1"/>
    <x v="3"/>
    <x v="6"/>
  </r>
  <r>
    <n v="319"/>
    <s v="TEDHAVA"/>
    <x v="37"/>
    <s v="Devlal Dulichand Patle"/>
    <s v="Dulichand"/>
    <x v="0"/>
    <s v="APL"/>
    <x v="2"/>
    <s v="Yes"/>
    <s v="Yes"/>
    <n v="65"/>
    <x v="6"/>
    <x v="1"/>
    <x v="3"/>
    <x v="6"/>
  </r>
  <r>
    <n v="320"/>
    <s v="TEDHAVA"/>
    <x v="313"/>
    <s v="Devraj Atmaram Amabadare"/>
    <s v="Atmaram Amabadare"/>
    <x v="0"/>
    <s v="APL"/>
    <x v="1"/>
    <s v="Yes"/>
    <s v="Yes"/>
    <n v="82"/>
    <x v="142"/>
    <x v="0"/>
    <x v="0"/>
    <x v="111"/>
  </r>
  <r>
    <n v="321"/>
    <s v="TEDHAVA"/>
    <x v="314"/>
    <s v="Devshwar Goma Hatele"/>
    <s v="Goma Hatele"/>
    <x v="0"/>
    <s v="APL"/>
    <x v="2"/>
    <s v="No"/>
    <s v="No"/>
    <n v="28"/>
    <x v="6"/>
    <x v="1"/>
    <x v="3"/>
    <x v="6"/>
  </r>
  <r>
    <n v="322"/>
    <s v="TEDHAVA"/>
    <x v="39"/>
    <s v="Dhaniram Bhaulal Matre"/>
    <s v="Bhaulal"/>
    <x v="0"/>
    <s v="APL"/>
    <x v="2"/>
    <s v="Yes"/>
    <s v="Yes"/>
    <n v="35"/>
    <x v="6"/>
    <x v="1"/>
    <x v="3"/>
    <x v="6"/>
  </r>
  <r>
    <n v="323"/>
    <s v="TEDHAVA"/>
    <x v="315"/>
    <s v="Dhanlal Zingar Neware"/>
    <s v="Zingar Neware"/>
    <x v="0"/>
    <s v="APL"/>
    <x v="1"/>
    <s v="Yes"/>
    <s v="Yes"/>
    <n v="51"/>
    <x v="143"/>
    <x v="0"/>
    <x v="1"/>
    <x v="55"/>
  </r>
  <r>
    <n v="324"/>
    <s v="TEDHAVA"/>
    <x v="316"/>
    <s v="Dhannalal Punaram Gajbhiye"/>
    <s v="Punaram"/>
    <x v="0"/>
    <s v="BPL"/>
    <x v="3"/>
    <s v="Yes"/>
    <s v="Yes"/>
    <n v="37"/>
    <x v="56"/>
    <x v="0"/>
    <x v="7"/>
    <x v="112"/>
  </r>
  <r>
    <n v="325"/>
    <s v="TEDHAVA"/>
    <x v="317"/>
    <s v="Dharamdra Surajalal Kolhatkar"/>
    <s v="Surajalal Kolhatkar"/>
    <x v="0"/>
    <s v="BPL"/>
    <x v="6"/>
    <s v="No"/>
    <s v="No"/>
    <n v="58"/>
    <x v="2"/>
    <x v="2"/>
    <x v="7"/>
    <x v="50"/>
  </r>
  <r>
    <n v="326"/>
    <s v="TEDHAVA"/>
    <x v="318"/>
    <s v="Dhiniram Chambhru Ganvir"/>
    <s v="Chambhru Ganvir"/>
    <x v="0"/>
    <s v="BPL"/>
    <x v="6"/>
    <s v="No"/>
    <s v="No"/>
    <n v="79"/>
    <x v="144"/>
    <x v="0"/>
    <x v="0"/>
    <x v="113"/>
  </r>
  <r>
    <n v="327"/>
    <s v="TEDHAVA"/>
    <x v="319"/>
    <s v="Dhondusaw Budhusaw Borkar"/>
    <s v="Budhusaw Borkar"/>
    <x v="0"/>
    <s v="BPL"/>
    <x v="3"/>
    <s v="Yes"/>
    <s v="Yes"/>
    <n v="79"/>
    <x v="145"/>
    <x v="0"/>
    <x v="0"/>
    <x v="114"/>
  </r>
  <r>
    <n v="328"/>
    <s v="TEDHAVA"/>
    <x v="320"/>
    <s v="Dhurapatabai Wo Laxaman Turkar"/>
    <s v="Laxaman Turkar"/>
    <x v="1"/>
    <s v="APL"/>
    <x v="5"/>
    <s v="Yes"/>
    <s v="Yes"/>
    <n v="79"/>
    <x v="146"/>
    <x v="0"/>
    <x v="0"/>
    <x v="107"/>
  </r>
  <r>
    <n v="329"/>
    <s v="TEDHAVA"/>
    <x v="321"/>
    <s v="Dhurpatabai Bhaulal Matre"/>
    <s v="Bhaulal"/>
    <x v="1"/>
    <s v="APL"/>
    <x v="5"/>
    <s v="Yes"/>
    <s v="Yes"/>
    <n v="82"/>
    <x v="147"/>
    <x v="0"/>
    <x v="0"/>
    <x v="15"/>
  </r>
  <r>
    <n v="330"/>
    <s v="TEDHAVA"/>
    <x v="322"/>
    <s v="Digambar Chimulal Turkar"/>
    <s v="Chimulal"/>
    <x v="0"/>
    <s v="APL"/>
    <x v="0"/>
    <s v="Yes"/>
    <s v="Yes"/>
    <n v="39"/>
    <x v="148"/>
    <x v="3"/>
    <x v="2"/>
    <x v="75"/>
  </r>
  <r>
    <n v="331"/>
    <s v="TEDHAVA"/>
    <x v="323"/>
    <s v="Dilip Sukadas Gajbhiye"/>
    <s v="Sukadas Gajbhiye"/>
    <x v="0"/>
    <s v="BPL"/>
    <x v="6"/>
    <s v="No"/>
    <s v="No"/>
    <n v="48"/>
    <x v="24"/>
    <x v="0"/>
    <x v="0"/>
    <x v="18"/>
  </r>
  <r>
    <n v="332"/>
    <s v="TEDHAVA"/>
    <x v="324"/>
    <s v="Dilip Surjalal Dhuware"/>
    <s v="Surjalal Dhuware"/>
    <x v="0"/>
    <s v="BPL"/>
    <x v="3"/>
    <s v="Yes"/>
    <s v="Yes"/>
    <n v="80"/>
    <x v="77"/>
    <x v="0"/>
    <x v="1"/>
    <x v="82"/>
  </r>
  <r>
    <n v="333"/>
    <s v="TEDHAVA"/>
    <x v="325"/>
    <s v="Dinesh Rekhalal Kolhatkar"/>
    <s v="Rekhalal Kolhatkar"/>
    <x v="0"/>
    <s v="APL"/>
    <x v="6"/>
    <s v="No"/>
    <s v="No"/>
    <n v="35"/>
    <x v="149"/>
    <x v="0"/>
    <x v="1"/>
    <x v="115"/>
  </r>
  <r>
    <n v="334"/>
    <s v="TEDHAVA"/>
    <x v="326"/>
    <s v="Dulichand Borkar"/>
    <s v="Jagusav"/>
    <x v="0"/>
    <s v="APL"/>
    <x v="0"/>
    <s v="Yes"/>
    <s v="Yes"/>
    <n v="84"/>
    <x v="150"/>
    <x v="0"/>
    <x v="5"/>
    <x v="106"/>
  </r>
  <r>
    <n v="335"/>
    <s v="TEDHAVA"/>
    <x v="327"/>
    <s v="Dulichand Sukaji Turkar"/>
    <s v="Sukaji Turkar"/>
    <x v="0"/>
    <s v="APL"/>
    <x v="0"/>
    <s v="No"/>
    <s v="No"/>
    <n v="33"/>
    <x v="54"/>
    <x v="0"/>
    <x v="8"/>
    <x v="7"/>
  </r>
  <r>
    <n v="336"/>
    <s v="TEDHAVA"/>
    <x v="328"/>
    <s v="Durgalal Budhan Turkar"/>
    <s v="Budhan Turkar"/>
    <x v="0"/>
    <s v="APL"/>
    <x v="0"/>
    <s v="Yes"/>
    <s v="Yes"/>
    <n v="71"/>
    <x v="151"/>
    <x v="0"/>
    <x v="2"/>
    <x v="116"/>
  </r>
  <r>
    <n v="337"/>
    <s v="TEDHAVA"/>
    <x v="329"/>
    <s v="Durgaprasad Turkar"/>
    <s v="Premlal"/>
    <x v="0"/>
    <s v="APL"/>
    <x v="0"/>
    <s v="Yes"/>
    <s v="Yes"/>
    <n v="38"/>
    <x v="152"/>
    <x v="0"/>
    <x v="0"/>
    <x v="56"/>
  </r>
  <r>
    <n v="338"/>
    <s v="TEDHAVA"/>
    <x v="330"/>
    <s v="Durgaprasad Puranalal Turkar"/>
    <s v="Puranlal Turkar"/>
    <x v="0"/>
    <s v="APL"/>
    <x v="0"/>
    <s v="Yes"/>
    <s v="Yes"/>
    <n v="65"/>
    <x v="153"/>
    <x v="0"/>
    <x v="7"/>
    <x v="117"/>
  </r>
  <r>
    <n v="339"/>
    <s v="TEDHAVA"/>
    <x v="331"/>
    <s v="Durgesh Piratlal Bisen"/>
    <s v="Piratlal Bisen"/>
    <x v="0"/>
    <s v="APL"/>
    <x v="2"/>
    <s v="No"/>
    <s v="No"/>
    <n v="30"/>
    <x v="6"/>
    <x v="1"/>
    <x v="3"/>
    <x v="6"/>
  </r>
  <r>
    <n v="340"/>
    <s v="TEDHAVA"/>
    <x v="332"/>
    <s v="Duryodhan Bhujan Sinhamare"/>
    <s v="Bhujan Sinhamare"/>
    <x v="0"/>
    <s v="APL"/>
    <x v="2"/>
    <s v="Yes"/>
    <s v="Yes"/>
    <n v="77"/>
    <x v="6"/>
    <x v="1"/>
    <x v="3"/>
    <x v="6"/>
  </r>
  <r>
    <n v="341"/>
    <s v="TEDHAVA"/>
    <x v="45"/>
    <s v="Fagulal Ramlal Nagfase"/>
    <s v="Ramlal"/>
    <x v="0"/>
    <s v="APL"/>
    <x v="2"/>
    <s v="Yes"/>
    <s v="Yes"/>
    <n v="73"/>
    <x v="6"/>
    <x v="1"/>
    <x v="3"/>
    <x v="6"/>
  </r>
  <r>
    <n v="342"/>
    <s v="TEDHAVA"/>
    <x v="333"/>
    <s v="Fattulal Raman Bisen"/>
    <s v="Raman Bisen"/>
    <x v="0"/>
    <s v="APL"/>
    <x v="2"/>
    <s v="No"/>
    <s v="No"/>
    <n v="50"/>
    <x v="6"/>
    <x v="1"/>
    <x v="3"/>
    <x v="6"/>
  </r>
  <r>
    <n v="343"/>
    <s v="TEDHAVA"/>
    <x v="334"/>
    <s v="Fuleshwari Ghansham Sonwane"/>
    <s v="Ghansham Sonwane"/>
    <x v="0"/>
    <s v="APL"/>
    <x v="1"/>
    <s v="Yes"/>
    <s v="Yes"/>
    <n v="53"/>
    <x v="97"/>
    <x v="0"/>
    <x v="0"/>
    <x v="118"/>
  </r>
  <r>
    <n v="344"/>
    <s v="TEDHAVA"/>
    <x v="335"/>
    <s v="Fulichand Nathuji Turkar"/>
    <s v="Nathuji Turkar"/>
    <x v="0"/>
    <s v="APL"/>
    <x v="0"/>
    <s v="Yes"/>
    <s v="Yes"/>
    <n v="70"/>
    <x v="119"/>
    <x v="0"/>
    <x v="2"/>
    <x v="26"/>
  </r>
  <r>
    <n v="345"/>
    <s v="TEDHAVA"/>
    <x v="336"/>
    <s v="Fulwanta Bewa Fulichand Turkar"/>
    <s v="Fulichand Turkar"/>
    <x v="1"/>
    <s v="APL"/>
    <x v="2"/>
    <s v="Yes"/>
    <s v="Yes"/>
    <n v="73"/>
    <x v="6"/>
    <x v="1"/>
    <x v="3"/>
    <x v="6"/>
  </r>
  <r>
    <n v="346"/>
    <s v="TEDHAVA"/>
    <x v="337"/>
    <s v="Gajanan Punaji Bangare"/>
    <s v="Punaji Bangare"/>
    <x v="0"/>
    <s v="APL"/>
    <x v="2"/>
    <s v="Yes"/>
    <s v="Yes"/>
    <n v="28"/>
    <x v="6"/>
    <x v="1"/>
    <x v="3"/>
    <x v="6"/>
  </r>
  <r>
    <n v="347"/>
    <s v="TEDHAVA"/>
    <x v="338"/>
    <s v="Gajendra Dhanlal Turkar"/>
    <s v="Dhanlal Turkar"/>
    <x v="0"/>
    <s v="APL"/>
    <x v="0"/>
    <s v="No"/>
    <s v="No"/>
    <n v="35"/>
    <x v="154"/>
    <x v="0"/>
    <x v="5"/>
    <x v="119"/>
  </r>
  <r>
    <n v="348"/>
    <s v="TEDHAVA"/>
    <x v="339"/>
    <s v="Gajendra Turkar"/>
    <s v="Dhanlal"/>
    <x v="0"/>
    <s v="APL"/>
    <x v="0"/>
    <s v="Yes"/>
    <s v="Yes"/>
    <n v="27"/>
    <x v="48"/>
    <x v="0"/>
    <x v="1"/>
    <x v="120"/>
  </r>
  <r>
    <n v="349"/>
    <s v="TEDHAVA"/>
    <x v="340"/>
    <s v="Ganesh Harichand Patle"/>
    <s v="Harichand Patle"/>
    <x v="0"/>
    <s v="APL"/>
    <x v="2"/>
    <s v="Yes"/>
    <s v="Yes"/>
    <n v="69"/>
    <x v="6"/>
    <x v="1"/>
    <x v="3"/>
    <x v="6"/>
  </r>
  <r>
    <n v="350"/>
    <s v="TEDHAVA"/>
    <x v="341"/>
    <s v="Ganesh Mukunda Turkar"/>
    <s v="Mukunda"/>
    <x v="0"/>
    <s v="APL"/>
    <x v="2"/>
    <s v="Yes"/>
    <s v="Yes"/>
    <n v="57"/>
    <x v="6"/>
    <x v="1"/>
    <x v="3"/>
    <x v="6"/>
  </r>
  <r>
    <n v="351"/>
    <s v="TEDHAVA"/>
    <x v="342"/>
    <s v="Ganesh Pandusav Borkar"/>
    <s v="Pandusav"/>
    <x v="0"/>
    <s v="APL"/>
    <x v="2"/>
    <s v="Yes"/>
    <s v="Yes"/>
    <n v="80"/>
    <x v="6"/>
    <x v="1"/>
    <x v="3"/>
    <x v="6"/>
  </r>
  <r>
    <n v="352"/>
    <s v="TEDHAVA"/>
    <x v="343"/>
    <s v="Ganesh Radhelal Katre"/>
    <s v="Radhelal"/>
    <x v="0"/>
    <s v="APL"/>
    <x v="2"/>
    <s v="Yes"/>
    <s v="Yes"/>
    <n v="56"/>
    <x v="6"/>
    <x v="1"/>
    <x v="3"/>
    <x v="6"/>
  </r>
  <r>
    <n v="353"/>
    <s v="TEDHAVA"/>
    <x v="344"/>
    <s v="Ganpat Turkar"/>
    <s v="Jivan"/>
    <x v="0"/>
    <s v="APL"/>
    <x v="0"/>
    <s v="Yes"/>
    <s v="Yes"/>
    <n v="49"/>
    <x v="155"/>
    <x v="0"/>
    <x v="4"/>
    <x v="37"/>
  </r>
  <r>
    <n v="354"/>
    <s v="TEDHAVA"/>
    <x v="345"/>
    <s v="Gautam Kasiram Raut"/>
    <s v="Kasiram Raut"/>
    <x v="0"/>
    <s v="BPL"/>
    <x v="1"/>
    <s v="Yes"/>
    <s v="Yes"/>
    <n v="85"/>
    <x v="156"/>
    <x v="0"/>
    <x v="2"/>
    <x v="121"/>
  </r>
  <r>
    <n v="355"/>
    <s v="TEDHAVA"/>
    <x v="346"/>
    <s v="Gendalal Bhika Bisen"/>
    <s v="Bhika Bisen"/>
    <x v="0"/>
    <s v="APL"/>
    <x v="2"/>
    <s v="Yes"/>
    <s v="Yes"/>
    <n v="40"/>
    <x v="6"/>
    <x v="1"/>
    <x v="3"/>
    <x v="6"/>
  </r>
  <r>
    <n v="356"/>
    <s v="TEDHAVA"/>
    <x v="347"/>
    <s v="Gendalal Dungan Rahangadale"/>
    <s v="Dungan Rahangadale"/>
    <x v="0"/>
    <s v="APL"/>
    <x v="2"/>
    <s v="Yes"/>
    <s v="Yes"/>
    <n v="57"/>
    <x v="6"/>
    <x v="1"/>
    <x v="3"/>
    <x v="6"/>
  </r>
  <r>
    <n v="357"/>
    <s v="TEDHAVA"/>
    <x v="57"/>
    <s v="Gendlal Karu Matre"/>
    <s v="Karu"/>
    <x v="0"/>
    <s v="APL"/>
    <x v="2"/>
    <s v="Yes"/>
    <s v="Yes"/>
    <n v="85"/>
    <x v="6"/>
    <x v="1"/>
    <x v="3"/>
    <x v="6"/>
  </r>
  <r>
    <n v="358"/>
    <s v="TEDHAVA"/>
    <x v="59"/>
    <s v="Ghanshyam Chandu Pache"/>
    <s v="Chandu"/>
    <x v="0"/>
    <s v="BPL"/>
    <x v="3"/>
    <s v="Yes"/>
    <s v="No"/>
    <n v="76"/>
    <x v="9"/>
    <x v="3"/>
    <x v="0"/>
    <x v="122"/>
  </r>
  <r>
    <n v="359"/>
    <s v="TEDHAVA"/>
    <x v="348"/>
    <s v="Ghanshyam Isulal Thakare"/>
    <s v="Isulal Thakare"/>
    <x v="0"/>
    <s v="APL"/>
    <x v="0"/>
    <s v="No"/>
    <s v="No"/>
    <n v="81"/>
    <x v="157"/>
    <x v="2"/>
    <x v="0"/>
    <x v="48"/>
  </r>
  <r>
    <n v="360"/>
    <s v="TEDHAVA"/>
    <x v="349"/>
    <s v="Ghanshyam Sakatu Panche"/>
    <s v="Sakatu"/>
    <x v="0"/>
    <s v="APL"/>
    <x v="2"/>
    <s v="Yes"/>
    <s v="Yes"/>
    <n v="30"/>
    <x v="6"/>
    <x v="1"/>
    <x v="3"/>
    <x v="6"/>
  </r>
  <r>
    <n v="361"/>
    <s v="TEDHAVA"/>
    <x v="350"/>
    <s v="Ghanshyam Toliram Turkar"/>
    <s v="Toliram Turkar"/>
    <x v="0"/>
    <s v="APL"/>
    <x v="0"/>
    <s v="Yes"/>
    <s v="Yes"/>
    <n v="83"/>
    <x v="158"/>
    <x v="0"/>
    <x v="6"/>
    <x v="31"/>
  </r>
  <r>
    <n v="362"/>
    <s v="TEDHAVA"/>
    <x v="351"/>
    <s v="Girdhari Tanaji Sonwane"/>
    <s v="Tanaji Sonwane"/>
    <x v="0"/>
    <s v="BPL"/>
    <x v="1"/>
    <s v="No"/>
    <s v="No"/>
    <n v="35"/>
    <x v="99"/>
    <x v="0"/>
    <x v="2"/>
    <x v="0"/>
  </r>
  <r>
    <n v="363"/>
    <s v="TEDHAVA"/>
    <x v="352"/>
    <s v="Godhikabai Bewa Bhaulal Bijewar"/>
    <s v="Bhaulal Bijewar"/>
    <x v="1"/>
    <s v="APL"/>
    <x v="5"/>
    <s v="Yes"/>
    <s v="Yes"/>
    <n v="72"/>
    <x v="159"/>
    <x v="0"/>
    <x v="4"/>
    <x v="123"/>
  </r>
  <r>
    <n v="364"/>
    <s v="TEDHAVA"/>
    <x v="353"/>
    <s v="Gomaji Narbad Patle"/>
    <s v="Narbad Patle"/>
    <x v="0"/>
    <s v="APL"/>
    <x v="2"/>
    <s v="Yes"/>
    <s v="Yes"/>
    <n v="82"/>
    <x v="6"/>
    <x v="1"/>
    <x v="3"/>
    <x v="6"/>
  </r>
  <r>
    <n v="365"/>
    <s v="TEDHAVA"/>
    <x v="354"/>
    <s v="Gosai Karu Matre"/>
    <s v="Karu Matre"/>
    <x v="0"/>
    <s v="APL"/>
    <x v="0"/>
    <s v="Yes"/>
    <s v="Yes"/>
    <n v="34"/>
    <x v="160"/>
    <x v="0"/>
    <x v="0"/>
    <x v="124"/>
  </r>
  <r>
    <n v="366"/>
    <s v="TEDHAVA"/>
    <x v="355"/>
    <s v="Govardhan Fadis Matre"/>
    <s v="Fadis Matre"/>
    <x v="0"/>
    <s v="APL"/>
    <x v="2"/>
    <s v="No"/>
    <s v="No"/>
    <n v="75"/>
    <x v="6"/>
    <x v="1"/>
    <x v="3"/>
    <x v="6"/>
  </r>
  <r>
    <n v="367"/>
    <s v="TEDHAVA"/>
    <x v="356"/>
    <s v="Govind Bhojalal Turkar"/>
    <s v="Bhojalal Turkar"/>
    <x v="0"/>
    <s v="APL"/>
    <x v="0"/>
    <s v="Yes"/>
    <s v="Yes"/>
    <n v="40"/>
    <x v="50"/>
    <x v="0"/>
    <x v="2"/>
    <x v="59"/>
  </r>
  <r>
    <n v="368"/>
    <s v="TEDHAVA"/>
    <x v="357"/>
    <s v="Govind Chitulal Bisen"/>
    <s v="Chitulal Bisen"/>
    <x v="0"/>
    <s v="APL"/>
    <x v="2"/>
    <s v="No"/>
    <s v="No"/>
    <n v="60"/>
    <x v="6"/>
    <x v="1"/>
    <x v="3"/>
    <x v="6"/>
  </r>
  <r>
    <n v="369"/>
    <s v="TEDHAVA"/>
    <x v="358"/>
    <s v="Govind Matre"/>
    <s v="Baiga"/>
    <x v="0"/>
    <s v="APL"/>
    <x v="0"/>
    <s v="Yes"/>
    <s v="Yes"/>
    <n v="32"/>
    <x v="55"/>
    <x v="0"/>
    <x v="0"/>
    <x v="92"/>
  </r>
  <r>
    <n v="370"/>
    <s v="TEDHAVA"/>
    <x v="359"/>
    <s v="Govind Zingu Palewar"/>
    <s v="Zingu Palewar"/>
    <x v="0"/>
    <s v="APL"/>
    <x v="0"/>
    <s v="Yes"/>
    <s v="Yes"/>
    <n v="27"/>
    <x v="99"/>
    <x v="0"/>
    <x v="7"/>
    <x v="94"/>
  </r>
  <r>
    <n v="371"/>
    <s v="TEDHAVA"/>
    <x v="360"/>
    <s v="Gulabchand Pandu Matare"/>
    <s v="Pandu"/>
    <x v="0"/>
    <s v="APL"/>
    <x v="2"/>
    <s v="Yes"/>
    <s v="Yes"/>
    <n v="30"/>
    <x v="6"/>
    <x v="1"/>
    <x v="3"/>
    <x v="6"/>
  </r>
  <r>
    <n v="372"/>
    <s v="TEDHAVA"/>
    <x v="61"/>
    <s v="Gulchand Hajari Sigandhupe"/>
    <s v="Hajari"/>
    <x v="0"/>
    <s v="APL"/>
    <x v="2"/>
    <s v="Yes"/>
    <s v="Yes"/>
    <n v="75"/>
    <x v="6"/>
    <x v="1"/>
    <x v="3"/>
    <x v="6"/>
  </r>
  <r>
    <n v="373"/>
    <s v="TEDHAVA"/>
    <x v="361"/>
    <s v="Guljarilal Ramdas Kolhatkar"/>
    <s v="Ramdas"/>
    <x v="0"/>
    <s v="APL"/>
    <x v="2"/>
    <s v="Yes"/>
    <s v="Yes"/>
    <n v="31"/>
    <x v="6"/>
    <x v="1"/>
    <x v="3"/>
    <x v="6"/>
  </r>
  <r>
    <n v="374"/>
    <s v="TEDHAVA"/>
    <x v="362"/>
    <s v="Gunanbai Bewa Kushoba Hatele"/>
    <s v="Kushoba Hatele"/>
    <x v="1"/>
    <s v="APL"/>
    <x v="5"/>
    <s v="Yes"/>
    <s v="Yes"/>
    <n v="74"/>
    <x v="161"/>
    <x v="0"/>
    <x v="6"/>
    <x v="99"/>
  </r>
  <r>
    <n v="375"/>
    <s v="TEDHAVA"/>
    <x v="363"/>
    <s v="Gunwantabai Sevakram Hanwate"/>
    <s v="Sevakram Hanwate"/>
    <x v="1"/>
    <s v="APL"/>
    <x v="5"/>
    <s v="Yes"/>
    <s v="Yes"/>
    <n v="75"/>
    <x v="162"/>
    <x v="0"/>
    <x v="2"/>
    <x v="51"/>
  </r>
  <r>
    <n v="376"/>
    <s v="TEDHAVA"/>
    <x v="364"/>
    <s v="Hanaslal Sukadu Nagfase"/>
    <s v="Sukadu"/>
    <x v="0"/>
    <s v="APL"/>
    <x v="2"/>
    <s v="Yes"/>
    <s v="Yes"/>
    <n v="40"/>
    <x v="6"/>
    <x v="1"/>
    <x v="3"/>
    <x v="6"/>
  </r>
  <r>
    <n v="377"/>
    <s v="TEDHAVA"/>
    <x v="365"/>
    <s v="Hansabai Janu Gajbhiye"/>
    <s v="Janu Gajbhiye"/>
    <x v="1"/>
    <s v="BPL"/>
    <x v="6"/>
    <s v="Yes"/>
    <s v="Yes"/>
    <n v="68"/>
    <x v="163"/>
    <x v="0"/>
    <x v="1"/>
    <x v="92"/>
  </r>
  <r>
    <n v="378"/>
    <s v="TEDHAVA"/>
    <x v="366"/>
    <s v="Hansabai Prakash Gajbhiye"/>
    <s v="Prakash Gajbhiye"/>
    <x v="1"/>
    <s v="APL"/>
    <x v="6"/>
    <s v="Yes"/>
    <s v="Yes"/>
    <n v="28"/>
    <x v="128"/>
    <x v="0"/>
    <x v="5"/>
    <x v="25"/>
  </r>
  <r>
    <n v="379"/>
    <s v="TEDHAVA"/>
    <x v="367"/>
    <s v="Hansulal Atmaram Pache"/>
    <s v="Atmaram"/>
    <x v="0"/>
    <s v="APL"/>
    <x v="2"/>
    <s v="Yes"/>
    <s v="Yes"/>
    <n v="32"/>
    <x v="6"/>
    <x v="1"/>
    <x v="3"/>
    <x v="6"/>
  </r>
  <r>
    <n v="380"/>
    <s v="TEDHAVA"/>
    <x v="368"/>
    <s v="Hansulal Maroti Nagafase"/>
    <s v="Maroti"/>
    <x v="0"/>
    <s v="APL"/>
    <x v="2"/>
    <s v="Yes"/>
    <s v="Yes"/>
    <n v="61"/>
    <x v="6"/>
    <x v="1"/>
    <x v="3"/>
    <x v="6"/>
  </r>
  <r>
    <n v="381"/>
    <s v="TEDHAVA"/>
    <x v="369"/>
    <s v="Harichand Anantram Raut"/>
    <s v="Anantram Raut"/>
    <x v="0"/>
    <s v="BPL"/>
    <x v="1"/>
    <s v="Yes"/>
    <s v="Yes"/>
    <n v="41"/>
    <x v="132"/>
    <x v="2"/>
    <x v="5"/>
    <x v="103"/>
  </r>
  <r>
    <n v="382"/>
    <s v="TEDHAVA"/>
    <x v="370"/>
    <s v="Harichand Jaggusao Borkar"/>
    <s v="Jaggusao"/>
    <x v="0"/>
    <s v="APL"/>
    <x v="6"/>
    <s v="Yes"/>
    <s v="Yes"/>
    <n v="59"/>
    <x v="164"/>
    <x v="0"/>
    <x v="2"/>
    <x v="125"/>
  </r>
  <r>
    <n v="383"/>
    <s v="TEDHAVA"/>
    <x v="371"/>
    <s v="Harichand Lakharam Turkar"/>
    <s v="Lakharam Turkar"/>
    <x v="0"/>
    <s v="APL"/>
    <x v="4"/>
    <s v="No"/>
    <s v="No"/>
    <n v="56"/>
    <x v="165"/>
    <x v="0"/>
    <x v="6"/>
    <x v="58"/>
  </r>
  <r>
    <n v="384"/>
    <s v="TEDHAVA"/>
    <x v="372"/>
    <s v="Harichand Natthuji Turkar"/>
    <s v="Natthuji Turkar"/>
    <x v="0"/>
    <s v="BPL"/>
    <x v="3"/>
    <s v="Yes"/>
    <s v="Yes"/>
    <n v="44"/>
    <x v="166"/>
    <x v="0"/>
    <x v="2"/>
    <x v="50"/>
  </r>
  <r>
    <n v="385"/>
    <s v="TEDHAVA"/>
    <x v="373"/>
    <s v="Haridas Chandhu Ganvir"/>
    <s v="Chandhu Ganvir"/>
    <x v="0"/>
    <s v="BPL"/>
    <x v="6"/>
    <s v="No"/>
    <s v="No"/>
    <n v="47"/>
    <x v="167"/>
    <x v="3"/>
    <x v="0"/>
    <x v="126"/>
  </r>
  <r>
    <n v="386"/>
    <s v="TEDHAVA"/>
    <x v="374"/>
    <s v="Hemraj Anantram Turkar"/>
    <s v="Anantram Turkar"/>
    <x v="0"/>
    <s v="APL"/>
    <x v="2"/>
    <s v="Yes"/>
    <s v="Yes"/>
    <n v="77"/>
    <x v="6"/>
    <x v="1"/>
    <x v="3"/>
    <x v="6"/>
  </r>
  <r>
    <n v="387"/>
    <s v="TEDHAVA"/>
    <x v="63"/>
    <s v="Hiralal Jagalal Matare"/>
    <s v="Jagalal"/>
    <x v="0"/>
    <s v="BPL"/>
    <x v="3"/>
    <s v="Yes"/>
    <s v="No"/>
    <n v="48"/>
    <x v="168"/>
    <x v="2"/>
    <x v="0"/>
    <x v="127"/>
  </r>
  <r>
    <n v="388"/>
    <s v="TEDHAVA"/>
    <x v="375"/>
    <s v="Hiralal Dudharam Choude"/>
    <s v="Dudharam Choude"/>
    <x v="0"/>
    <s v="BPL"/>
    <x v="6"/>
    <s v="No"/>
    <s v="No"/>
    <n v="84"/>
    <x v="169"/>
    <x v="0"/>
    <x v="5"/>
    <x v="38"/>
  </r>
  <r>
    <n v="389"/>
    <s v="TEDHAVA"/>
    <x v="376"/>
    <s v="Hiralal Pendari Singandhupe"/>
    <s v="Pendari Singandhupe"/>
    <x v="0"/>
    <s v="APL"/>
    <x v="2"/>
    <s v="No"/>
    <s v="No"/>
    <n v="53"/>
    <x v="6"/>
    <x v="1"/>
    <x v="3"/>
    <x v="6"/>
  </r>
  <r>
    <n v="390"/>
    <s v="TEDHAVA"/>
    <x v="377"/>
    <s v="Hiralal Piratlal Turkar"/>
    <s v="Piratlal Turkar"/>
    <x v="0"/>
    <s v="APL"/>
    <x v="0"/>
    <s v="Yes"/>
    <s v="Yes"/>
    <n v="83"/>
    <x v="137"/>
    <x v="0"/>
    <x v="7"/>
    <x v="128"/>
  </r>
  <r>
    <n v="391"/>
    <s v="TEDHAVA"/>
    <x v="378"/>
    <s v="Hiraman Ramji Matre"/>
    <s v="Ramji Matre"/>
    <x v="0"/>
    <s v="APL"/>
    <x v="2"/>
    <s v="No"/>
    <s v="No"/>
    <n v="67"/>
    <x v="6"/>
    <x v="1"/>
    <x v="3"/>
    <x v="6"/>
  </r>
  <r>
    <n v="392"/>
    <s v="TEDHAVA"/>
    <x v="379"/>
    <s v="Hiroda Shankar Meshram"/>
    <s v="Shankar Meshram"/>
    <x v="1"/>
    <s v="BPL"/>
    <x v="6"/>
    <s v="No"/>
    <s v="No"/>
    <n v="50"/>
    <x v="170"/>
    <x v="3"/>
    <x v="4"/>
    <x v="99"/>
  </r>
  <r>
    <n v="393"/>
    <s v="TEDHAVA"/>
    <x v="380"/>
    <s v="Hivraj Harku Kolhatkar"/>
    <s v="Harku Kolhatkar"/>
    <x v="0"/>
    <s v="BPL"/>
    <x v="6"/>
    <s v="No"/>
    <s v="No"/>
    <n v="50"/>
    <x v="171"/>
    <x v="0"/>
    <x v="0"/>
    <x v="122"/>
  </r>
  <r>
    <n v="394"/>
    <s v="TEDHAVA"/>
    <x v="381"/>
    <s v="Hivraj Hiralal Kosamkotre"/>
    <s v="Hiralal Kosamkotre"/>
    <x v="0"/>
    <s v="BPL"/>
    <x v="3"/>
    <s v="No"/>
    <s v="No"/>
    <n v="60"/>
    <x v="172"/>
    <x v="0"/>
    <x v="0"/>
    <x v="129"/>
  </r>
  <r>
    <n v="395"/>
    <s v="TEDHAVA"/>
    <x v="382"/>
    <s v="Holiram Ajablal Mane"/>
    <s v="Ajablal"/>
    <x v="0"/>
    <s v="BPL"/>
    <x v="3"/>
    <s v="Yes"/>
    <s v="Yes"/>
    <n v="55"/>
    <x v="116"/>
    <x v="2"/>
    <x v="2"/>
    <x v="117"/>
  </r>
  <r>
    <n v="396"/>
    <s v="TEDHAVA"/>
    <x v="383"/>
    <s v="Holiram Gosai Matre"/>
    <s v="Gosai Matre"/>
    <x v="0"/>
    <s v="APL"/>
    <x v="2"/>
    <s v="Yes"/>
    <s v="Yes"/>
    <n v="61"/>
    <x v="6"/>
    <x v="1"/>
    <x v="3"/>
    <x v="6"/>
  </r>
  <r>
    <n v="397"/>
    <s v="TEDHAVA"/>
    <x v="384"/>
    <s v="Imalabai Kainavat"/>
    <s v="Shobhelal"/>
    <x v="1"/>
    <s v="APL"/>
    <x v="5"/>
    <s v="Yes"/>
    <s v="Yes"/>
    <n v="74"/>
    <x v="75"/>
    <x v="3"/>
    <x v="2"/>
    <x v="63"/>
  </r>
  <r>
    <n v="398"/>
    <s v="TEDHAVA"/>
    <x v="385"/>
    <s v="Imlabai Dasru Pache"/>
    <s v="Dasru"/>
    <x v="1"/>
    <s v="APL"/>
    <x v="5"/>
    <s v="Yes"/>
    <s v="Yes"/>
    <n v="78"/>
    <x v="113"/>
    <x v="0"/>
    <x v="4"/>
    <x v="20"/>
  </r>
  <r>
    <n v="399"/>
    <s v="TEDHAVA"/>
    <x v="386"/>
    <s v="Jagadish Thanthan Turkar"/>
    <s v="Thanthan"/>
    <x v="0"/>
    <s v="APL"/>
    <x v="0"/>
    <s v="Yes"/>
    <s v="Yes"/>
    <n v="80"/>
    <x v="173"/>
    <x v="0"/>
    <x v="2"/>
    <x v="130"/>
  </r>
  <r>
    <n v="400"/>
    <s v="TEDHAVA"/>
    <x v="387"/>
    <s v="Jaglal Mitthusao Dhuware"/>
    <s v="Mitthusao"/>
    <x v="0"/>
    <s v="BPL"/>
    <x v="3"/>
    <s v="Yes"/>
    <s v="Yes"/>
    <n v="76"/>
    <x v="74"/>
    <x v="3"/>
    <x v="7"/>
    <x v="131"/>
  </r>
  <r>
    <n v="401"/>
    <s v="TEDHAVA"/>
    <x v="388"/>
    <s v="Jago Prasaram Ambadare"/>
    <s v="Prasaram Ambadare"/>
    <x v="0"/>
    <s v="APL"/>
    <x v="1"/>
    <s v="Yes"/>
    <s v="Yes"/>
    <n v="78"/>
    <x v="172"/>
    <x v="0"/>
    <x v="0"/>
    <x v="93"/>
  </r>
  <r>
    <n v="402"/>
    <s v="TEDHAVA"/>
    <x v="389"/>
    <s v="Jaianbai Bewa Kadru Barmate"/>
    <s v="Kadru Barmate"/>
    <x v="1"/>
    <s v="BPL"/>
    <x v="6"/>
    <s v="Yes"/>
    <s v="Yes"/>
    <n v="69"/>
    <x v="174"/>
    <x v="0"/>
    <x v="8"/>
    <x v="132"/>
  </r>
  <r>
    <n v="403"/>
    <s v="TEDHAVA"/>
    <x v="390"/>
    <s v="Jailal Mithusao Dhuware"/>
    <s v="Mithusao Dhuware"/>
    <x v="0"/>
    <s v="APL"/>
    <x v="2"/>
    <s v="Yes"/>
    <s v="Yes"/>
    <n v="40"/>
    <x v="6"/>
    <x v="1"/>
    <x v="3"/>
    <x v="6"/>
  </r>
  <r>
    <n v="404"/>
    <s v="TEDHAVA"/>
    <x v="391"/>
    <s v="Jamnalal Sundarlal Pande"/>
    <s v="Sundarlal Pande"/>
    <x v="0"/>
    <s v="BPL"/>
    <x v="3"/>
    <s v="No"/>
    <s v="No"/>
    <n v="32"/>
    <x v="175"/>
    <x v="3"/>
    <x v="2"/>
    <x v="72"/>
  </r>
  <r>
    <n v="405"/>
    <s v="TEDHAVA"/>
    <x v="392"/>
    <s v="Jananbai Bewa Vitthoba Hatele"/>
    <s v="Vitthoba Hatele"/>
    <x v="1"/>
    <s v="APL"/>
    <x v="5"/>
    <s v="Yes"/>
    <s v="Yes"/>
    <n v="73"/>
    <x v="74"/>
    <x v="0"/>
    <x v="0"/>
    <x v="1"/>
  </r>
  <r>
    <n v="406"/>
    <s v="TEDHAVA"/>
    <x v="393"/>
    <s v="Jawaharlal Mohanlal Patle"/>
    <s v="Mohanlal Patle"/>
    <x v="0"/>
    <s v="APL"/>
    <x v="0"/>
    <s v="Yes"/>
    <s v="Yes"/>
    <n v="61"/>
    <x v="176"/>
    <x v="0"/>
    <x v="6"/>
    <x v="133"/>
  </r>
  <r>
    <n v="407"/>
    <s v="TEDHAVA"/>
    <x v="394"/>
    <s v="Jayabai Bewa Laxaman Neware"/>
    <s v="Laxaman Neware"/>
    <x v="1"/>
    <s v="BPL"/>
    <x v="1"/>
    <s v="No"/>
    <s v="No"/>
    <n v="51"/>
    <x v="177"/>
    <x v="0"/>
    <x v="0"/>
    <x v="134"/>
  </r>
  <r>
    <n v="408"/>
    <s v="TEDHAVA"/>
    <x v="395"/>
    <s v="Jaywantabai Ranglal Turkar"/>
    <s v="Ranglal"/>
    <x v="1"/>
    <s v="APL"/>
    <x v="5"/>
    <s v="Yes"/>
    <s v="Yes"/>
    <n v="59"/>
    <x v="13"/>
    <x v="0"/>
    <x v="6"/>
    <x v="105"/>
  </r>
  <r>
    <n v="409"/>
    <s v="TEDHAVA"/>
    <x v="396"/>
    <s v="Jitendra Bhojraj Kolhatkar"/>
    <s v="Bhojraj Kolhatkar"/>
    <x v="0"/>
    <s v="BPL"/>
    <x v="6"/>
    <s v="Yes"/>
    <s v="Yes"/>
    <n v="46"/>
    <x v="81"/>
    <x v="0"/>
    <x v="2"/>
    <x v="32"/>
  </r>
  <r>
    <n v="410"/>
    <s v="TEDHAVA"/>
    <x v="397"/>
    <s v="Jitendra Dhanlal Turkar"/>
    <s v="Dhanlal Turkar"/>
    <x v="0"/>
    <s v="APL"/>
    <x v="4"/>
    <s v="No"/>
    <s v="No"/>
    <n v="48"/>
    <x v="100"/>
    <x v="0"/>
    <x v="2"/>
    <x v="11"/>
  </r>
  <r>
    <n v="411"/>
    <s v="TEDHAVA"/>
    <x v="398"/>
    <s v="Jitendra Kumar Sahej Matre"/>
    <s v="Sahaj"/>
    <x v="0"/>
    <s v="APL"/>
    <x v="2"/>
    <s v="Yes"/>
    <s v="Yes"/>
    <n v="74"/>
    <x v="6"/>
    <x v="1"/>
    <x v="3"/>
    <x v="6"/>
  </r>
  <r>
    <n v="412"/>
    <s v="TEDHAVA"/>
    <x v="399"/>
    <s v="Jivan Naga Turkar"/>
    <s v="Naga Turkar"/>
    <x v="0"/>
    <s v="APL"/>
    <x v="0"/>
    <s v="No"/>
    <s v="No"/>
    <n v="72"/>
    <x v="165"/>
    <x v="0"/>
    <x v="2"/>
    <x v="3"/>
  </r>
  <r>
    <n v="413"/>
    <s v="TEDHAVA"/>
    <x v="400"/>
    <s v="Jivanlal Jiyalal Dakhanwar"/>
    <s v="Jiyalal Dakhanwar"/>
    <x v="0"/>
    <s v="APL"/>
    <x v="2"/>
    <s v="Yes"/>
    <s v="Yes"/>
    <n v="85"/>
    <x v="6"/>
    <x v="1"/>
    <x v="3"/>
    <x v="6"/>
  </r>
  <r>
    <n v="414"/>
    <s v="TEDHAVA"/>
    <x v="401"/>
    <s v="Jogo Gujoba Kolhatkar"/>
    <s v="Gujoba Kolhatkar"/>
    <x v="0"/>
    <s v="BPL"/>
    <x v="6"/>
    <s v="No"/>
    <s v="No"/>
    <n v="79"/>
    <x v="178"/>
    <x v="0"/>
    <x v="6"/>
    <x v="16"/>
  </r>
  <r>
    <n v="415"/>
    <s v="TEDHAVA"/>
    <x v="402"/>
    <s v="Kalabai Bewa Tilakachad Sonwane"/>
    <s v="Tilakachad Sonwane"/>
    <x v="1"/>
    <s v="APL"/>
    <x v="5"/>
    <s v="Yes"/>
    <s v="Yes"/>
    <n v="35"/>
    <x v="179"/>
    <x v="0"/>
    <x v="0"/>
    <x v="75"/>
  </r>
  <r>
    <n v="416"/>
    <s v="TEDHAVA"/>
    <x v="403"/>
    <s v="Kalabai Jiyalal Turkar"/>
    <s v="Jiyalal"/>
    <x v="1"/>
    <s v="BPL"/>
    <x v="3"/>
    <s v="Yes"/>
    <s v="Yes"/>
    <n v="53"/>
    <x v="30"/>
    <x v="0"/>
    <x v="2"/>
    <x v="135"/>
  </r>
  <r>
    <n v="417"/>
    <s v="TEDHAVA"/>
    <x v="404"/>
    <s v="Kalpana Bhumeshwar Pande"/>
    <s v="Bhumeshwar Pande"/>
    <x v="1"/>
    <s v="APL"/>
    <x v="5"/>
    <s v="Yes"/>
    <s v="Yes"/>
    <n v="84"/>
    <x v="180"/>
    <x v="3"/>
    <x v="6"/>
    <x v="136"/>
  </r>
  <r>
    <n v="418"/>
    <s v="TEDHAVA"/>
    <x v="405"/>
    <s v="Kalpesh Nandkishor Meshram"/>
    <s v="Nandkishor"/>
    <x v="0"/>
    <s v="BPL"/>
    <x v="3"/>
    <s v="Yes"/>
    <s v="Yes"/>
    <n v="79"/>
    <x v="17"/>
    <x v="3"/>
    <x v="0"/>
    <x v="50"/>
  </r>
  <r>
    <n v="419"/>
    <s v="TEDHAVA"/>
    <x v="406"/>
    <s v="Kamalabai Jaggusao Borkar"/>
    <s v="Jaggusao Borkar"/>
    <x v="1"/>
    <s v="APL"/>
    <x v="5"/>
    <s v="Yes"/>
    <s v="Yes"/>
    <n v="43"/>
    <x v="17"/>
    <x v="0"/>
    <x v="4"/>
    <x v="38"/>
  </r>
  <r>
    <n v="420"/>
    <s v="TEDHAVA"/>
    <x v="407"/>
    <s v="Kamalesh Lataru Turkar"/>
    <s v="Lataru"/>
    <x v="0"/>
    <s v="APL"/>
    <x v="2"/>
    <s v="Yes"/>
    <s v="Yes"/>
    <n v="63"/>
    <x v="6"/>
    <x v="1"/>
    <x v="3"/>
    <x v="6"/>
  </r>
  <r>
    <n v="421"/>
    <s v="TEDHAVA"/>
    <x v="408"/>
    <s v="Kamlagiri Fekangiri Goswami"/>
    <s v="Fekangiri Goswami"/>
    <x v="0"/>
    <s v="BPL"/>
    <x v="3"/>
    <s v="Yes"/>
    <s v="Yes"/>
    <n v="52"/>
    <x v="181"/>
    <x v="2"/>
    <x v="7"/>
    <x v="137"/>
  </r>
  <r>
    <n v="422"/>
    <s v="TEDHAVA"/>
    <x v="79"/>
    <s v="Kamlesh Rekhalal Kolhatkar"/>
    <s v="Rekhalal"/>
    <x v="0"/>
    <s v="APL"/>
    <x v="6"/>
    <s v="Yes"/>
    <s v="Yes"/>
    <n v="41"/>
    <x v="182"/>
    <x v="3"/>
    <x v="0"/>
    <x v="138"/>
  </r>
  <r>
    <n v="423"/>
    <s v="TEDHAVA"/>
    <x v="409"/>
    <s v="Kanai Turkar"/>
    <s v="Lakshaman Turkar"/>
    <x v="0"/>
    <s v="APL"/>
    <x v="0"/>
    <s v="Yes"/>
    <s v="Yes"/>
    <n v="29"/>
    <x v="89"/>
    <x v="3"/>
    <x v="7"/>
    <x v="139"/>
  </r>
  <r>
    <n v="424"/>
    <s v="TEDHAVA"/>
    <x v="410"/>
    <s v="Kanayyalal Sadusaw Borkar"/>
    <s v="Sadusaw Borkar"/>
    <x v="0"/>
    <s v="APL"/>
    <x v="0"/>
    <s v="Yes"/>
    <s v="Yes"/>
    <n v="55"/>
    <x v="183"/>
    <x v="0"/>
    <x v="7"/>
    <x v="2"/>
  </r>
  <r>
    <n v="425"/>
    <s v="TEDHAVA"/>
    <x v="411"/>
    <s v="Kanhayyalal Babulal Tekam"/>
    <s v="Babulal Tekam"/>
    <x v="0"/>
    <s v="APL"/>
    <x v="2"/>
    <s v="No"/>
    <s v="No"/>
    <n v="43"/>
    <x v="6"/>
    <x v="1"/>
    <x v="3"/>
    <x v="6"/>
  </r>
  <r>
    <n v="426"/>
    <s v="TEDHAVA"/>
    <x v="412"/>
    <s v="Kantabai Wo Shivalal Turkar"/>
    <s v="Shivalal Turkar"/>
    <x v="1"/>
    <s v="APL"/>
    <x v="5"/>
    <s v="Yes"/>
    <s v="Yes"/>
    <n v="73"/>
    <x v="76"/>
    <x v="0"/>
    <x v="0"/>
    <x v="117"/>
  </r>
  <r>
    <n v="427"/>
    <s v="TEDHAVA"/>
    <x v="413"/>
    <s v="Kantanbai Basantray Turkar"/>
    <s v="Basantray"/>
    <x v="1"/>
    <s v="APL"/>
    <x v="5"/>
    <s v="Yes"/>
    <s v="Yes"/>
    <n v="68"/>
    <x v="81"/>
    <x v="3"/>
    <x v="0"/>
    <x v="11"/>
  </r>
  <r>
    <n v="428"/>
    <s v="TEDHAVA"/>
    <x v="414"/>
    <s v="Kanthilal Nandu Neware"/>
    <s v="Nandu Neware"/>
    <x v="0"/>
    <s v="BPL"/>
    <x v="1"/>
    <s v="No"/>
    <s v="No"/>
    <n v="49"/>
    <x v="130"/>
    <x v="0"/>
    <x v="2"/>
    <x v="140"/>
  </r>
  <r>
    <n v="429"/>
    <s v="TEDHAVA"/>
    <x v="415"/>
    <s v="Karu Kavdu Sonwane"/>
    <s v="Kavdu"/>
    <x v="0"/>
    <s v="APL"/>
    <x v="2"/>
    <s v="Yes"/>
    <s v="Yes"/>
    <n v="76"/>
    <x v="6"/>
    <x v="1"/>
    <x v="3"/>
    <x v="6"/>
  </r>
  <r>
    <n v="430"/>
    <s v="TEDHAVA"/>
    <x v="416"/>
    <s v="Kasanbai Bewa Baliram Bisen"/>
    <s v="Baliram Bisen"/>
    <x v="1"/>
    <s v="APL"/>
    <x v="0"/>
    <s v="Yes"/>
    <s v="Yes"/>
    <n v="55"/>
    <x v="137"/>
    <x v="0"/>
    <x v="0"/>
    <x v="101"/>
  </r>
  <r>
    <n v="431"/>
    <s v="TEDHAVA"/>
    <x v="417"/>
    <s v="Kastura Mansaram Ganvir"/>
    <s v="Mansaram Ganvir"/>
    <x v="1"/>
    <s v="APL"/>
    <x v="5"/>
    <s v="No"/>
    <s v="No"/>
    <n v="49"/>
    <x v="184"/>
    <x v="0"/>
    <x v="1"/>
    <x v="106"/>
  </r>
  <r>
    <n v="432"/>
    <s v="TEDHAVA"/>
    <x v="418"/>
    <s v="Kausalyabai Ashok Patle"/>
    <s v="Ashok Patle"/>
    <x v="1"/>
    <s v="APL"/>
    <x v="5"/>
    <s v="Yes"/>
    <s v="Yes"/>
    <n v="35"/>
    <x v="42"/>
    <x v="0"/>
    <x v="2"/>
    <x v="8"/>
  </r>
  <r>
    <n v="433"/>
    <s v="TEDHAVA"/>
    <x v="419"/>
    <s v="Kautikabai Prakash Gajbhiye"/>
    <s v="Prakash Gajbhiye"/>
    <x v="0"/>
    <s v="APL"/>
    <x v="6"/>
    <s v="Yes"/>
    <s v="Yes"/>
    <n v="65"/>
    <x v="50"/>
    <x v="0"/>
    <x v="0"/>
    <x v="16"/>
  </r>
  <r>
    <n v="434"/>
    <s v="TEDHAVA"/>
    <x v="420"/>
    <s v="Kautukabai Rukan Amabadare"/>
    <s v="Rukan Amabadare"/>
    <x v="1"/>
    <s v="BPL"/>
    <x v="1"/>
    <s v="No"/>
    <s v="No"/>
    <n v="74"/>
    <x v="185"/>
    <x v="2"/>
    <x v="2"/>
    <x v="96"/>
  </r>
  <r>
    <n v="435"/>
    <s v="TEDHAVA"/>
    <x v="421"/>
    <s v="Kawal Surjalal Turkar"/>
    <s v="Surjalal Turkar"/>
    <x v="0"/>
    <s v="APL"/>
    <x v="2"/>
    <s v="Yes"/>
    <s v="Yes"/>
    <n v="50"/>
    <x v="6"/>
    <x v="1"/>
    <x v="3"/>
    <x v="6"/>
  </r>
  <r>
    <n v="436"/>
    <s v="TEDHAVA"/>
    <x v="422"/>
    <s v="Khelanbai Bew Bhika Choudhary"/>
    <s v="Bhika Choudhary"/>
    <x v="1"/>
    <s v="BPL"/>
    <x v="3"/>
    <s v="No"/>
    <s v="No"/>
    <n v="72"/>
    <x v="140"/>
    <x v="3"/>
    <x v="4"/>
    <x v="16"/>
  </r>
  <r>
    <n v="437"/>
    <s v="TEDHAVA"/>
    <x v="423"/>
    <s v="Khelanbai Bewa Hirya Tumsare"/>
    <s v="Hirya Tumsare"/>
    <x v="1"/>
    <s v="APL"/>
    <x v="5"/>
    <s v="No"/>
    <s v="No"/>
    <n v="27"/>
    <x v="186"/>
    <x v="0"/>
    <x v="0"/>
    <x v="61"/>
  </r>
  <r>
    <n v="438"/>
    <s v="TEDHAVA"/>
    <x v="424"/>
    <s v="Khemchand Baijan Dube"/>
    <s v="Baijan Dube"/>
    <x v="0"/>
    <s v="APL"/>
    <x v="2"/>
    <s v="Yes"/>
    <s v="Yes"/>
    <n v="36"/>
    <x v="6"/>
    <x v="1"/>
    <x v="3"/>
    <x v="6"/>
  </r>
  <r>
    <n v="439"/>
    <s v="TEDHAVA"/>
    <x v="425"/>
    <s v="Khimedra Rameshwar Thakare"/>
    <s v="Rameshwar Thakare"/>
    <x v="0"/>
    <s v="APL"/>
    <x v="2"/>
    <s v="Yes"/>
    <s v="Yes"/>
    <n v="82"/>
    <x v="6"/>
    <x v="1"/>
    <x v="3"/>
    <x v="6"/>
  </r>
  <r>
    <n v="440"/>
    <s v="TEDHAVA"/>
    <x v="426"/>
    <s v="Khumesh Isulal Thakare"/>
    <s v="Isulal Thakare"/>
    <x v="0"/>
    <s v="APL"/>
    <x v="2"/>
    <s v="No"/>
    <s v="No"/>
    <n v="61"/>
    <x v="6"/>
    <x v="1"/>
    <x v="3"/>
    <x v="6"/>
  </r>
  <r>
    <n v="441"/>
    <s v="TEDHAVA"/>
    <x v="427"/>
    <s v="Khurmilal Lataru Bisen"/>
    <s v="Lataru Bisen"/>
    <x v="0"/>
    <s v="APL"/>
    <x v="2"/>
    <s v="Yes"/>
    <s v="Yes"/>
    <n v="70"/>
    <x v="6"/>
    <x v="1"/>
    <x v="3"/>
    <x v="6"/>
  </r>
  <r>
    <n v="442"/>
    <s v="TEDHAVA"/>
    <x v="428"/>
    <s v="Khushal Gujoba Ambadare"/>
    <s v="Gujoba Ambadare"/>
    <x v="0"/>
    <s v="BPL"/>
    <x v="1"/>
    <s v="No"/>
    <s v="No"/>
    <n v="60"/>
    <x v="26"/>
    <x v="2"/>
    <x v="0"/>
    <x v="83"/>
  </r>
  <r>
    <n v="443"/>
    <s v="TEDHAVA"/>
    <x v="429"/>
    <s v="Khushilal Shamlal Dudhabawane"/>
    <s v="Shamlal Dudhabawane"/>
    <x v="0"/>
    <s v="APL"/>
    <x v="2"/>
    <s v="Yes"/>
    <s v="Yes"/>
    <n v="72"/>
    <x v="6"/>
    <x v="1"/>
    <x v="3"/>
    <x v="6"/>
  </r>
  <r>
    <n v="444"/>
    <s v="TEDHAVA"/>
    <x v="89"/>
    <s v="Kisanlal Urkuda Matre"/>
    <s v="Urkuda"/>
    <x v="0"/>
    <s v="APL"/>
    <x v="2"/>
    <s v="Yes"/>
    <s v="Yes"/>
    <n v="39"/>
    <x v="6"/>
    <x v="1"/>
    <x v="3"/>
    <x v="6"/>
  </r>
  <r>
    <n v="445"/>
    <s v="TEDHAVA"/>
    <x v="430"/>
    <s v="Kishor Shankar Bagare"/>
    <s v="Shankar Bagare"/>
    <x v="0"/>
    <s v="APL"/>
    <x v="0"/>
    <s v="Yes"/>
    <s v="Yes"/>
    <n v="39"/>
    <x v="76"/>
    <x v="0"/>
    <x v="2"/>
    <x v="13"/>
  </r>
  <r>
    <n v="446"/>
    <s v="TEDHAVA"/>
    <x v="431"/>
    <s v="Komal Premalal Choude"/>
    <s v="Premalal Choude"/>
    <x v="0"/>
    <s v="BPL"/>
    <x v="6"/>
    <s v="No"/>
    <s v="No"/>
    <n v="57"/>
    <x v="187"/>
    <x v="0"/>
    <x v="2"/>
    <x v="141"/>
  </r>
  <r>
    <n v="447"/>
    <s v="TEDHAVA"/>
    <x v="432"/>
    <s v="Komal Sukhadas Vasnik"/>
    <s v="Sukhadas Vasnik"/>
    <x v="0"/>
    <s v="APL"/>
    <x v="6"/>
    <s v="No"/>
    <s v="No"/>
    <n v="48"/>
    <x v="188"/>
    <x v="0"/>
    <x v="6"/>
    <x v="37"/>
  </r>
  <r>
    <n v="448"/>
    <s v="TEDHAVA"/>
    <x v="433"/>
    <s v="Koutikabai Sukalal Palewar"/>
    <s v="Sukalal Palewar"/>
    <x v="1"/>
    <s v="APL"/>
    <x v="5"/>
    <s v="Yes"/>
    <s v="Yes"/>
    <n v="54"/>
    <x v="189"/>
    <x v="3"/>
    <x v="0"/>
    <x v="72"/>
  </r>
  <r>
    <n v="449"/>
    <s v="TEDHAVA"/>
    <x v="434"/>
    <s v="Kuntanbai Hiralal Turkar"/>
    <s v="Hiralal Turkar"/>
    <x v="1"/>
    <s v="APL"/>
    <x v="5"/>
    <s v="Yes"/>
    <s v="Yes"/>
    <n v="72"/>
    <x v="125"/>
    <x v="0"/>
    <x v="6"/>
    <x v="142"/>
  </r>
  <r>
    <n v="450"/>
    <s v="TEDHAVA"/>
    <x v="435"/>
    <s v="Kuwarlal Jogo Kolhatkar"/>
    <s v="Jogo Kolhatkar"/>
    <x v="0"/>
    <s v="BPL"/>
    <x v="6"/>
    <s v="No"/>
    <s v="No"/>
    <n v="46"/>
    <x v="38"/>
    <x v="3"/>
    <x v="0"/>
    <x v="31"/>
  </r>
  <r>
    <n v="451"/>
    <s v="TEDHAVA"/>
    <x v="97"/>
    <s v="Lakhan Naval Matre"/>
    <s v="Naval"/>
    <x v="0"/>
    <s v="APL"/>
    <x v="2"/>
    <s v="Yes"/>
    <s v="Yes"/>
    <n v="36"/>
    <x v="6"/>
    <x v="1"/>
    <x v="3"/>
    <x v="6"/>
  </r>
  <r>
    <n v="452"/>
    <s v="TEDHAVA"/>
    <x v="436"/>
    <s v="Lakharam Isulal Thakare"/>
    <s v="Isulal Thakare"/>
    <x v="0"/>
    <s v="APL"/>
    <x v="0"/>
    <s v="Yes"/>
    <s v="Yes"/>
    <n v="68"/>
    <x v="119"/>
    <x v="0"/>
    <x v="0"/>
    <x v="63"/>
  </r>
  <r>
    <n v="453"/>
    <s v="TEDHAVA"/>
    <x v="437"/>
    <s v="Lalachand Harichand Turkar"/>
    <s v="Harichand Turkar"/>
    <x v="0"/>
    <s v="BPL"/>
    <x v="3"/>
    <s v="Yes"/>
    <s v="Yes"/>
    <n v="37"/>
    <x v="190"/>
    <x v="0"/>
    <x v="2"/>
    <x v="42"/>
  </r>
  <r>
    <n v="454"/>
    <s v="TEDHAVA"/>
    <x v="438"/>
    <s v="Lalchand Harichand Turkar"/>
    <s v="Harichand"/>
    <x v="0"/>
    <s v="BPL"/>
    <x v="3"/>
    <s v="Yes"/>
    <s v="Yes"/>
    <n v="49"/>
    <x v="191"/>
    <x v="0"/>
    <x v="0"/>
    <x v="106"/>
  </r>
  <r>
    <n v="455"/>
    <s v="TEDHAVA"/>
    <x v="439"/>
    <s v="Lalit Dhondusav Borkar"/>
    <s v="Pandusav"/>
    <x v="0"/>
    <s v="APL"/>
    <x v="2"/>
    <s v="Yes"/>
    <s v="Yes"/>
    <n v="53"/>
    <x v="6"/>
    <x v="1"/>
    <x v="3"/>
    <x v="6"/>
  </r>
  <r>
    <n v="456"/>
    <s v="TEDHAVA"/>
    <x v="440"/>
    <s v="Lataru Soma Turkar"/>
    <s v="Soma Turkar"/>
    <x v="0"/>
    <s v="APL"/>
    <x v="0"/>
    <s v="Yes"/>
    <s v="Yes"/>
    <n v="77"/>
    <x v="192"/>
    <x v="0"/>
    <x v="0"/>
    <x v="142"/>
  </r>
  <r>
    <n v="457"/>
    <s v="TEDHAVA"/>
    <x v="441"/>
    <s v="Latikabai Anil Kolhatkar"/>
    <s v="Anil Kolhatkar"/>
    <x v="1"/>
    <s v="BPL"/>
    <x v="6"/>
    <s v="Yes"/>
    <s v="Yes"/>
    <n v="35"/>
    <x v="58"/>
    <x v="0"/>
    <x v="1"/>
    <x v="59"/>
  </r>
  <r>
    <n v="458"/>
    <s v="TEDHAVA"/>
    <x v="442"/>
    <s v="Laxaman Kasiram Turkar"/>
    <s v="Kasiram Turkar"/>
    <x v="0"/>
    <s v="APL"/>
    <x v="2"/>
    <s v="Yes"/>
    <s v="Yes"/>
    <n v="53"/>
    <x v="6"/>
    <x v="1"/>
    <x v="3"/>
    <x v="6"/>
  </r>
  <r>
    <n v="459"/>
    <s v="TEDHAVA"/>
    <x v="443"/>
    <s v="Laxman Shravan Kolhatakar"/>
    <s v="Shravan"/>
    <x v="0"/>
    <s v="BPL"/>
    <x v="3"/>
    <s v="Yes"/>
    <s v="Yes"/>
    <n v="45"/>
    <x v="22"/>
    <x v="0"/>
    <x v="5"/>
    <x v="2"/>
  </r>
  <r>
    <n v="460"/>
    <s v="TEDHAVA"/>
    <x v="99"/>
    <s v="Laxmichand Gendlal Matare"/>
    <s v="Gendlal"/>
    <x v="0"/>
    <s v="BPL"/>
    <x v="3"/>
    <s v="Yes"/>
    <s v="Yes"/>
    <n v="41"/>
    <x v="193"/>
    <x v="2"/>
    <x v="0"/>
    <x v="63"/>
  </r>
  <r>
    <n v="461"/>
    <s v="TEDHAVA"/>
    <x v="444"/>
    <s v="Laxmikumar Bhaulal Bijewar"/>
    <s v="Bhaulal"/>
    <x v="0"/>
    <s v="BPL"/>
    <x v="3"/>
    <s v="Yes"/>
    <s v="Yes"/>
    <n v="83"/>
    <x v="194"/>
    <x v="0"/>
    <x v="0"/>
    <x v="25"/>
  </r>
  <r>
    <n v="462"/>
    <s v="TEDHAVA"/>
    <x v="101"/>
    <s v="Laxmiman Baggu Bhoyar"/>
    <s v="Baggu"/>
    <x v="0"/>
    <s v="BPL"/>
    <x v="3"/>
    <s v="Yes"/>
    <s v="Yes"/>
    <n v="33"/>
    <x v="70"/>
    <x v="0"/>
    <x v="5"/>
    <x v="36"/>
  </r>
  <r>
    <n v="463"/>
    <s v="TEDHAVA"/>
    <x v="445"/>
    <s v="Leelabai Narayan Meshram"/>
    <s v="Narayan"/>
    <x v="1"/>
    <s v="APL"/>
    <x v="5"/>
    <s v="Yes"/>
    <s v="Yes"/>
    <n v="77"/>
    <x v="27"/>
    <x v="3"/>
    <x v="0"/>
    <x v="107"/>
  </r>
  <r>
    <n v="464"/>
    <s v="TEDHAVA"/>
    <x v="446"/>
    <s v="Lilabai Hiralal Turkar"/>
    <s v="Hiralal Turkar"/>
    <x v="1"/>
    <s v="APL"/>
    <x v="5"/>
    <s v="Yes"/>
    <s v="Yes"/>
    <n v="83"/>
    <x v="169"/>
    <x v="0"/>
    <x v="0"/>
    <x v="11"/>
  </r>
  <r>
    <n v="465"/>
    <s v="TEDHAVA"/>
    <x v="447"/>
    <s v="Limabaji Narbad Patle"/>
    <s v="Narbad Patle"/>
    <x v="0"/>
    <s v="APL"/>
    <x v="0"/>
    <s v="Yes"/>
    <s v="Yes"/>
    <n v="30"/>
    <x v="195"/>
    <x v="0"/>
    <x v="2"/>
    <x v="82"/>
  </r>
  <r>
    <n v="466"/>
    <s v="TEDHAVA"/>
    <x v="448"/>
    <s v="Lusanbai Beniram Turkar"/>
    <s v="Beniram Turkar"/>
    <x v="1"/>
    <s v="APL"/>
    <x v="5"/>
    <s v="Yes"/>
    <s v="Yes"/>
    <n v="60"/>
    <x v="196"/>
    <x v="3"/>
    <x v="1"/>
    <x v="67"/>
  </r>
  <r>
    <n v="467"/>
    <s v="TEDHAVA"/>
    <x v="449"/>
    <s v="Lusanbai Domaji Patle"/>
    <s v="Domaji"/>
    <x v="1"/>
    <s v="BPL"/>
    <x v="3"/>
    <s v="Yes"/>
    <s v="Yes"/>
    <n v="39"/>
    <x v="158"/>
    <x v="3"/>
    <x v="6"/>
    <x v="15"/>
  </r>
  <r>
    <n v="468"/>
    <s v="TEDHAVA"/>
    <x v="450"/>
    <s v="Madan Bodal Meshram"/>
    <s v="Bodal Meshram"/>
    <x v="0"/>
    <s v="BPL"/>
    <x v="6"/>
    <s v="No"/>
    <s v="No"/>
    <n v="72"/>
    <x v="197"/>
    <x v="3"/>
    <x v="0"/>
    <x v="44"/>
  </r>
  <r>
    <n v="469"/>
    <s v="TEDHAVA"/>
    <x v="451"/>
    <s v="Madanlal Beniram Turkar"/>
    <s v="Beniram Turkar"/>
    <x v="0"/>
    <s v="APL"/>
    <x v="0"/>
    <s v="Yes"/>
    <s v="Yes"/>
    <n v="55"/>
    <x v="198"/>
    <x v="0"/>
    <x v="5"/>
    <x v="143"/>
  </r>
  <r>
    <n v="470"/>
    <s v="TEDHAVA"/>
    <x v="452"/>
    <s v="Madanlal Premalal Rinayat"/>
    <s v="Premalal Rinayat"/>
    <x v="0"/>
    <s v="APL"/>
    <x v="0"/>
    <s v="Yes"/>
    <s v="Yes"/>
    <n v="47"/>
    <x v="199"/>
    <x v="3"/>
    <x v="2"/>
    <x v="110"/>
  </r>
  <r>
    <n v="471"/>
    <s v="TEDHAVA"/>
    <x v="453"/>
    <s v="Madhoji Budhan Jaitawar"/>
    <s v="Budhan Jaitawar"/>
    <x v="0"/>
    <s v="APL"/>
    <x v="0"/>
    <s v="No"/>
    <s v="No"/>
    <n v="29"/>
    <x v="200"/>
    <x v="0"/>
    <x v="0"/>
    <x v="130"/>
  </r>
  <r>
    <n v="472"/>
    <s v="TEDHAVA"/>
    <x v="454"/>
    <s v="Mahendra Punaram Gajbhiye"/>
    <s v="Punaram Gajbhiye"/>
    <x v="0"/>
    <s v="APL"/>
    <x v="2"/>
    <s v="Yes"/>
    <s v="Yes"/>
    <n v="58"/>
    <x v="6"/>
    <x v="1"/>
    <x v="3"/>
    <x v="6"/>
  </r>
  <r>
    <n v="473"/>
    <s v="TEDHAVA"/>
    <x v="455"/>
    <s v="Mahendra Surajlal Kolhatkar"/>
    <s v="Surajlal Kolhatkar"/>
    <x v="0"/>
    <s v="BPL"/>
    <x v="6"/>
    <s v="No"/>
    <s v="No"/>
    <n v="29"/>
    <x v="201"/>
    <x v="2"/>
    <x v="5"/>
    <x v="126"/>
  </r>
  <r>
    <n v="474"/>
    <s v="TEDHAVA"/>
    <x v="456"/>
    <s v="Malanbai Lanjewar"/>
    <s v="Parmeshwar"/>
    <x v="0"/>
    <s v="APL"/>
    <x v="5"/>
    <s v="Yes"/>
    <s v="Yes"/>
    <n v="39"/>
    <x v="202"/>
    <x v="0"/>
    <x v="1"/>
    <x v="46"/>
  </r>
  <r>
    <n v="475"/>
    <s v="TEDHAVA"/>
    <x v="457"/>
    <s v="Mandanruka Yogaraj Chouhan"/>
    <s v="Yogaraj Chouhan"/>
    <x v="1"/>
    <s v="BPL"/>
    <x v="6"/>
    <s v="No"/>
    <s v="No"/>
    <n v="49"/>
    <x v="148"/>
    <x v="0"/>
    <x v="6"/>
    <x v="64"/>
  </r>
  <r>
    <n v="476"/>
    <s v="TEDHAVA"/>
    <x v="458"/>
    <s v="Mandas Satya Matare"/>
    <s v="Satya"/>
    <x v="0"/>
    <s v="APL"/>
    <x v="2"/>
    <s v="Yes"/>
    <s v="Yes"/>
    <n v="27"/>
    <x v="6"/>
    <x v="1"/>
    <x v="3"/>
    <x v="6"/>
  </r>
  <r>
    <n v="477"/>
    <s v="TEDHAVA"/>
    <x v="459"/>
    <s v="Mangaru Suka Hatele"/>
    <s v="Suka"/>
    <x v="0"/>
    <s v="BPL"/>
    <x v="3"/>
    <s v="Yes"/>
    <s v="Yes"/>
    <n v="72"/>
    <x v="203"/>
    <x v="0"/>
    <x v="0"/>
    <x v="144"/>
  </r>
  <r>
    <n v="478"/>
    <s v="TEDHAVA"/>
    <x v="460"/>
    <s v="Manik Turkar"/>
    <s v="Raman"/>
    <x v="0"/>
    <s v="APL"/>
    <x v="0"/>
    <s v="Yes"/>
    <s v="Yes"/>
    <n v="40"/>
    <x v="82"/>
    <x v="0"/>
    <x v="8"/>
    <x v="47"/>
  </r>
  <r>
    <n v="479"/>
    <s v="TEDHAVA"/>
    <x v="461"/>
    <s v="Manik Chaitaram Meshram"/>
    <s v="Chaitaram Meshram"/>
    <x v="0"/>
    <s v="BPL"/>
    <x v="6"/>
    <s v="No"/>
    <s v="No"/>
    <n v="82"/>
    <x v="31"/>
    <x v="0"/>
    <x v="6"/>
    <x v="64"/>
  </r>
  <r>
    <n v="480"/>
    <s v="TEDHAVA"/>
    <x v="462"/>
    <s v="Manikchand Fagulal Turkar"/>
    <s v="Fagulal Turkar"/>
    <x v="0"/>
    <s v="APL"/>
    <x v="0"/>
    <s v="Yes"/>
    <s v="Yes"/>
    <n v="53"/>
    <x v="157"/>
    <x v="0"/>
    <x v="4"/>
    <x v="41"/>
  </r>
  <r>
    <n v="481"/>
    <s v="TEDHAVA"/>
    <x v="463"/>
    <s v="Maniklal Turkar"/>
    <s v="Arjun"/>
    <x v="0"/>
    <s v="APL"/>
    <x v="0"/>
    <s v="Yes"/>
    <s v="Yes"/>
    <n v="70"/>
    <x v="204"/>
    <x v="0"/>
    <x v="1"/>
    <x v="145"/>
  </r>
  <r>
    <n v="482"/>
    <s v="TEDHAVA"/>
    <x v="464"/>
    <s v="Maniklal Dundha Kolhatkar"/>
    <s v="Dundha Kolhatkar"/>
    <x v="0"/>
    <s v="BPL"/>
    <x v="6"/>
    <s v="No"/>
    <s v="No"/>
    <n v="78"/>
    <x v="24"/>
    <x v="0"/>
    <x v="4"/>
    <x v="113"/>
  </r>
  <r>
    <n v="483"/>
    <s v="TEDHAVA"/>
    <x v="111"/>
    <s v="Maniram Bhaulal Matre"/>
    <s v="Bhaulal"/>
    <x v="0"/>
    <s v="APL"/>
    <x v="2"/>
    <s v="Yes"/>
    <s v="Yes"/>
    <n v="54"/>
    <x v="6"/>
    <x v="1"/>
    <x v="3"/>
    <x v="6"/>
  </r>
  <r>
    <n v="484"/>
    <s v="TEDHAVA"/>
    <x v="465"/>
    <s v="Maniram Harichand Matre"/>
    <s v="Harichand Matre"/>
    <x v="0"/>
    <s v="APL"/>
    <x v="2"/>
    <s v="Yes"/>
    <s v="Yes"/>
    <n v="68"/>
    <x v="6"/>
    <x v="1"/>
    <x v="3"/>
    <x v="6"/>
  </r>
  <r>
    <n v="485"/>
    <s v="TEDHAVA"/>
    <x v="466"/>
    <s v="Manjana Bewa Dhanlal Turkar"/>
    <s v="Dhanlal Turkar"/>
    <x v="1"/>
    <s v="APL"/>
    <x v="5"/>
    <s v="Yes"/>
    <s v="Yes"/>
    <n v="32"/>
    <x v="205"/>
    <x v="0"/>
    <x v="2"/>
    <x v="95"/>
  </r>
  <r>
    <n v="486"/>
    <s v="TEDHAVA"/>
    <x v="467"/>
    <s v="Manjanabai Adkan Patle"/>
    <s v="Adkan Patle"/>
    <x v="1"/>
    <s v="BPL"/>
    <x v="6"/>
    <s v="No"/>
    <s v="No"/>
    <n v="68"/>
    <x v="21"/>
    <x v="0"/>
    <x v="4"/>
    <x v="133"/>
  </r>
  <r>
    <n v="487"/>
    <s v="TEDHAVA"/>
    <x v="468"/>
    <s v="Manjanabai Dhanlal Turkar"/>
    <s v="Dhanlal Turkar"/>
    <x v="1"/>
    <s v="APL"/>
    <x v="5"/>
    <s v="Yes"/>
    <s v="Yes"/>
    <n v="66"/>
    <x v="206"/>
    <x v="0"/>
    <x v="0"/>
    <x v="74"/>
  </r>
  <r>
    <n v="488"/>
    <s v="TEDHAVA"/>
    <x v="469"/>
    <s v="Mansaram Pache"/>
    <s v="Atmaram"/>
    <x v="0"/>
    <s v="APL"/>
    <x v="0"/>
    <s v="Yes"/>
    <s v="Yes"/>
    <n v="74"/>
    <x v="207"/>
    <x v="2"/>
    <x v="0"/>
    <x v="39"/>
  </r>
  <r>
    <n v="489"/>
    <s v="TEDHAVA"/>
    <x v="470"/>
    <s v="Mansaram Sumau Singandhupe"/>
    <s v="Sumau Singandhupe"/>
    <x v="0"/>
    <s v="APL"/>
    <x v="2"/>
    <s v="No"/>
    <s v="No"/>
    <n v="39"/>
    <x v="6"/>
    <x v="1"/>
    <x v="3"/>
    <x v="6"/>
  </r>
  <r>
    <n v="490"/>
    <s v="TEDHAVA"/>
    <x v="471"/>
    <s v="Manthurabai Surajalal Harinkhede"/>
    <s v="Surajalal Harinkhede"/>
    <x v="1"/>
    <s v="APL"/>
    <x v="5"/>
    <s v="Yes"/>
    <s v="Yes"/>
    <n v="42"/>
    <x v="208"/>
    <x v="0"/>
    <x v="0"/>
    <x v="29"/>
  </r>
  <r>
    <n v="491"/>
    <s v="TEDHAVA"/>
    <x v="472"/>
    <s v="Maroti Dhuran Neware"/>
    <s v="Dhuran Neware"/>
    <x v="0"/>
    <s v="APL"/>
    <x v="0"/>
    <s v="Yes"/>
    <s v="Yes"/>
    <n v="33"/>
    <x v="148"/>
    <x v="0"/>
    <x v="2"/>
    <x v="105"/>
  </r>
  <r>
    <n v="492"/>
    <s v="TEDHAVA"/>
    <x v="473"/>
    <s v="Maroti Kodu Gajbhiye"/>
    <s v="Kodu Gajbhiye"/>
    <x v="0"/>
    <s v="BPL"/>
    <x v="6"/>
    <s v="No"/>
    <s v="No"/>
    <n v="57"/>
    <x v="126"/>
    <x v="3"/>
    <x v="7"/>
    <x v="55"/>
  </r>
  <r>
    <n v="493"/>
    <s v="TEDHAVA"/>
    <x v="474"/>
    <s v="Mayaram Kothusao Dhuware"/>
    <s v="Kothusao Dhuware"/>
    <x v="0"/>
    <s v="BPL"/>
    <x v="3"/>
    <s v="Yes"/>
    <s v="Yes"/>
    <n v="84"/>
    <x v="209"/>
    <x v="0"/>
    <x v="4"/>
    <x v="61"/>
  </r>
  <r>
    <n v="494"/>
    <s v="TEDHAVA"/>
    <x v="475"/>
    <s v="Mehatarsaw Kodusaw Borkar"/>
    <s v="Kodusaw Borkar"/>
    <x v="0"/>
    <s v="APL"/>
    <x v="0"/>
    <s v="Yes"/>
    <s v="Yes"/>
    <n v="61"/>
    <x v="210"/>
    <x v="0"/>
    <x v="1"/>
    <x v="146"/>
  </r>
  <r>
    <n v="495"/>
    <s v="TEDHAVA"/>
    <x v="476"/>
    <s v="Mehatrin Yuvraj Kolhatkar"/>
    <s v="Yuvraj Kolhatkar"/>
    <x v="1"/>
    <s v="APL"/>
    <x v="5"/>
    <s v="No"/>
    <s v="No"/>
    <n v="75"/>
    <x v="211"/>
    <x v="0"/>
    <x v="0"/>
    <x v="99"/>
  </r>
  <r>
    <n v="496"/>
    <s v="TEDHAVA"/>
    <x v="477"/>
    <s v="Methaji Chaitaram Meshram"/>
    <s v="Chaitaram Meshram"/>
    <x v="0"/>
    <s v="BPL"/>
    <x v="6"/>
    <s v="No"/>
    <s v="No"/>
    <n v="44"/>
    <x v="212"/>
    <x v="0"/>
    <x v="2"/>
    <x v="65"/>
  </r>
  <r>
    <n v="497"/>
    <s v="TEDHAVA"/>
    <x v="478"/>
    <s v="Minabai Kishorrao Bangre"/>
    <s v="Kishorrao"/>
    <x v="0"/>
    <s v="APL"/>
    <x v="0"/>
    <s v="Yes"/>
    <s v="Yes"/>
    <n v="37"/>
    <x v="213"/>
    <x v="0"/>
    <x v="7"/>
    <x v="57"/>
  </r>
  <r>
    <n v="498"/>
    <s v="TEDHAVA"/>
    <x v="479"/>
    <s v="Mohanlal Asaram Katre"/>
    <s v="Asaram Katre"/>
    <x v="0"/>
    <s v="APL"/>
    <x v="2"/>
    <s v="Yes"/>
    <s v="Yes"/>
    <n v="44"/>
    <x v="6"/>
    <x v="1"/>
    <x v="3"/>
    <x v="6"/>
  </r>
  <r>
    <n v="499"/>
    <s v="TEDHAVA"/>
    <x v="480"/>
    <s v="Mohanlal Sapku Turkar"/>
    <s v="Sapku Turkar"/>
    <x v="0"/>
    <s v="APL"/>
    <x v="2"/>
    <s v="Yes"/>
    <s v="Yes"/>
    <n v="76"/>
    <x v="6"/>
    <x v="1"/>
    <x v="3"/>
    <x v="6"/>
  </r>
  <r>
    <n v="500"/>
    <s v="TEDHAVA"/>
    <x v="481"/>
    <s v="Mohanlal Subhelal Sorale"/>
    <s v="Subhelal Sorale"/>
    <x v="0"/>
    <s v="BPL"/>
    <x v="1"/>
    <s v="No"/>
    <s v="No"/>
    <n v="36"/>
    <x v="21"/>
    <x v="0"/>
    <x v="2"/>
    <x v="56"/>
  </r>
  <r>
    <n v="501"/>
    <s v="TEDHAVA"/>
    <x v="482"/>
    <s v="Moharlal Piramalal Turkar"/>
    <s v="Piramalal Turkar"/>
    <x v="0"/>
    <s v="APL"/>
    <x v="0"/>
    <s v="Yes"/>
    <s v="Yes"/>
    <n v="48"/>
    <x v="141"/>
    <x v="0"/>
    <x v="0"/>
    <x v="107"/>
  </r>
  <r>
    <n v="502"/>
    <s v="TEDHAVA"/>
    <x v="483"/>
    <s v="Motilal Bansi Bisen"/>
    <s v="Bansi Bisen"/>
    <x v="0"/>
    <s v="APL"/>
    <x v="0"/>
    <s v="Yes"/>
    <s v="Yes"/>
    <n v="69"/>
    <x v="85"/>
    <x v="0"/>
    <x v="2"/>
    <x v="72"/>
  </r>
  <r>
    <n v="503"/>
    <s v="TEDHAVA"/>
    <x v="484"/>
    <s v="Motilal Narayan Meshram"/>
    <s v="Narayan Meshram"/>
    <x v="0"/>
    <s v="APL"/>
    <x v="2"/>
    <s v="No"/>
    <s v="No"/>
    <n v="37"/>
    <x v="6"/>
    <x v="1"/>
    <x v="3"/>
    <x v="6"/>
  </r>
  <r>
    <n v="504"/>
    <s v="TEDHAVA"/>
    <x v="485"/>
    <s v="Muka Mangru Bagde"/>
    <s v="Mangru Bagde"/>
    <x v="0"/>
    <s v="BPL"/>
    <x v="1"/>
    <s v="No"/>
    <s v="No"/>
    <n v="83"/>
    <x v="101"/>
    <x v="0"/>
    <x v="1"/>
    <x v="103"/>
  </r>
  <r>
    <n v="505"/>
    <s v="TEDHAVA"/>
    <x v="486"/>
    <s v="Mukesh Brijalal Dhuware"/>
    <s v="Brijalal Dhuware"/>
    <x v="0"/>
    <s v="APL"/>
    <x v="0"/>
    <s v="Yes"/>
    <s v="Yes"/>
    <n v="80"/>
    <x v="214"/>
    <x v="0"/>
    <x v="6"/>
    <x v="107"/>
  </r>
  <r>
    <n v="506"/>
    <s v="TEDHAVA"/>
    <x v="487"/>
    <s v="Mukeshkumar Ganapat Turkar"/>
    <s v="Ganapat"/>
    <x v="0"/>
    <s v="APL"/>
    <x v="2"/>
    <s v="Yes"/>
    <s v="Yes"/>
    <n v="63"/>
    <x v="6"/>
    <x v="1"/>
    <x v="3"/>
    <x v="6"/>
  </r>
  <r>
    <n v="507"/>
    <s v="TEDHAVA"/>
    <x v="488"/>
    <s v="Mukunda Kishiram Turkar"/>
    <s v="Kishiram Turkar"/>
    <x v="0"/>
    <s v="APL"/>
    <x v="0"/>
    <s v="Yes"/>
    <s v="Yes"/>
    <n v="51"/>
    <x v="17"/>
    <x v="0"/>
    <x v="0"/>
    <x v="26"/>
  </r>
  <r>
    <n v="508"/>
    <s v="TEDHAVA"/>
    <x v="489"/>
    <s v="Mukundrao Jaglal Patle"/>
    <s v="Jaglal"/>
    <x v="0"/>
    <s v="APL"/>
    <x v="0"/>
    <s v="Yes"/>
    <s v="Yes"/>
    <n v="56"/>
    <x v="112"/>
    <x v="3"/>
    <x v="0"/>
    <x v="64"/>
  </r>
  <r>
    <n v="509"/>
    <s v="TEDHAVA"/>
    <x v="490"/>
    <s v="Mulchand Matre"/>
    <s v="Bandu"/>
    <x v="0"/>
    <s v="APL"/>
    <x v="0"/>
    <s v="Yes"/>
    <s v="Yes"/>
    <n v="78"/>
    <x v="85"/>
    <x v="0"/>
    <x v="5"/>
    <x v="88"/>
  </r>
  <r>
    <n v="510"/>
    <s v="TEDHAVA"/>
    <x v="491"/>
    <s v="Mulchand Pandu Matre"/>
    <s v="Pandu"/>
    <x v="0"/>
    <s v="APL"/>
    <x v="2"/>
    <s v="Yes"/>
    <s v="Yes"/>
    <n v="65"/>
    <x v="6"/>
    <x v="1"/>
    <x v="3"/>
    <x v="6"/>
  </r>
  <r>
    <n v="511"/>
    <s v="TEDHAVA"/>
    <x v="492"/>
    <s v="Mulchand Suka Turkar"/>
    <s v="Suka Turkar"/>
    <x v="0"/>
    <s v="APL"/>
    <x v="0"/>
    <s v="Yes"/>
    <s v="Yes"/>
    <n v="35"/>
    <x v="215"/>
    <x v="0"/>
    <x v="6"/>
    <x v="93"/>
  </r>
  <r>
    <n v="512"/>
    <s v="TEDHAVA"/>
    <x v="493"/>
    <s v="Munnalal Basantlal Dudhabawane"/>
    <s v="Basantlal Dudhabawane"/>
    <x v="0"/>
    <s v="APL"/>
    <x v="0"/>
    <s v="Yes"/>
    <s v="Yes"/>
    <n v="79"/>
    <x v="216"/>
    <x v="0"/>
    <x v="0"/>
    <x v="29"/>
  </r>
  <r>
    <n v="513"/>
    <s v="TEDHAVA"/>
    <x v="494"/>
    <s v="Munnalal Hansulal Pache"/>
    <s v="Hansulal"/>
    <x v="0"/>
    <s v="APL"/>
    <x v="2"/>
    <s v="Yes"/>
    <s v="Yes"/>
    <n v="71"/>
    <x v="6"/>
    <x v="1"/>
    <x v="3"/>
    <x v="6"/>
  </r>
  <r>
    <n v="514"/>
    <s v="TEDHAVA"/>
    <x v="495"/>
    <s v="Munnilal Rukan Rahangadale"/>
    <s v="Rukan Rahangadale"/>
    <x v="0"/>
    <s v="APL"/>
    <x v="0"/>
    <s v="No"/>
    <s v="No"/>
    <n v="61"/>
    <x v="24"/>
    <x v="0"/>
    <x v="6"/>
    <x v="15"/>
  </r>
  <r>
    <n v="515"/>
    <s v="TEDHAVA"/>
    <x v="496"/>
    <s v="Nabilal Pavan Kolhatkar"/>
    <s v="Pavan Kolhatkar"/>
    <x v="0"/>
    <s v="APL"/>
    <x v="2"/>
    <s v="Yes"/>
    <s v="Yes"/>
    <n v="54"/>
    <x v="6"/>
    <x v="1"/>
    <x v="3"/>
    <x v="6"/>
  </r>
  <r>
    <n v="516"/>
    <s v="TEDHAVA"/>
    <x v="497"/>
    <s v="Nanaji Harichand Sonwane"/>
    <s v="Harichand Sonwane"/>
    <x v="0"/>
    <s v="BPL"/>
    <x v="1"/>
    <s v="No"/>
    <s v="No"/>
    <n v="27"/>
    <x v="189"/>
    <x v="2"/>
    <x v="6"/>
    <x v="37"/>
  </r>
  <r>
    <n v="517"/>
    <s v="TEDHAVA"/>
    <x v="498"/>
    <s v="Nandkishor Sukhadas Gajbhiye"/>
    <s v="Sukhadas Gajbhiye"/>
    <x v="0"/>
    <s v="BPL"/>
    <x v="6"/>
    <s v="Yes"/>
    <s v="Yes"/>
    <n v="41"/>
    <x v="217"/>
    <x v="0"/>
    <x v="2"/>
    <x v="99"/>
  </r>
  <r>
    <n v="518"/>
    <s v="TEDHAVA"/>
    <x v="499"/>
    <s v="Nandlal Narbad Turkar"/>
    <s v="Narbad Turkar"/>
    <x v="0"/>
    <s v="APL"/>
    <x v="0"/>
    <s v="Yes"/>
    <s v="Yes"/>
    <n v="52"/>
    <x v="218"/>
    <x v="0"/>
    <x v="2"/>
    <x v="147"/>
  </r>
  <r>
    <n v="519"/>
    <s v="TEDHAVA"/>
    <x v="500"/>
    <s v="Narayan Puranalal Patle"/>
    <s v="Puranalal Patle"/>
    <x v="0"/>
    <s v="APL"/>
    <x v="0"/>
    <s v="Yes"/>
    <s v="Yes"/>
    <n v="65"/>
    <x v="219"/>
    <x v="0"/>
    <x v="1"/>
    <x v="148"/>
  </r>
  <r>
    <n v="520"/>
    <s v="TEDHAVA"/>
    <x v="501"/>
    <s v="Narbad Rangalal Turkar"/>
    <s v="Rangalal Turkar"/>
    <x v="0"/>
    <s v="APL"/>
    <x v="0"/>
    <s v="Yes"/>
    <s v="Yes"/>
    <n v="61"/>
    <x v="53"/>
    <x v="0"/>
    <x v="0"/>
    <x v="149"/>
  </r>
  <r>
    <n v="521"/>
    <s v="TEDHAVA"/>
    <x v="502"/>
    <s v="Narendra Mohanlal Turkar"/>
    <s v="Mohanlal"/>
    <x v="0"/>
    <s v="APL"/>
    <x v="2"/>
    <s v="Yes"/>
    <s v="Yes"/>
    <n v="63"/>
    <x v="6"/>
    <x v="1"/>
    <x v="3"/>
    <x v="6"/>
  </r>
  <r>
    <n v="522"/>
    <s v="TEDHAVA"/>
    <x v="123"/>
    <s v="Naru Harelal Mane"/>
    <s v="Harelal"/>
    <x v="0"/>
    <s v="BPL"/>
    <x v="3"/>
    <s v="Yes"/>
    <s v="No"/>
    <n v="67"/>
    <x v="220"/>
    <x v="0"/>
    <x v="2"/>
    <x v="150"/>
  </r>
  <r>
    <n v="523"/>
    <s v="TEDHAVA"/>
    <x v="503"/>
    <s v="Nawalal Suka Turkar"/>
    <s v="Suka Turkar"/>
    <x v="0"/>
    <s v="APL"/>
    <x v="2"/>
    <s v="Yes"/>
    <s v="Yes"/>
    <n v="73"/>
    <x v="6"/>
    <x v="1"/>
    <x v="3"/>
    <x v="6"/>
  </r>
  <r>
    <n v="524"/>
    <s v="TEDHAVA"/>
    <x v="504"/>
    <s v="Netalal Lokachd Sonwane"/>
    <s v="Lokachd Sonwane"/>
    <x v="0"/>
    <s v="BPL"/>
    <x v="1"/>
    <s v="Yes"/>
    <s v="Yes"/>
    <n v="38"/>
    <x v="161"/>
    <x v="0"/>
    <x v="8"/>
    <x v="41"/>
  </r>
  <r>
    <n v="525"/>
    <s v="TEDHAVA"/>
    <x v="505"/>
    <s v="Netalal Premalal Dhuware"/>
    <s v="Premalal Dhuware"/>
    <x v="0"/>
    <s v="APL"/>
    <x v="0"/>
    <s v="Yes"/>
    <s v="Yes"/>
    <n v="78"/>
    <x v="221"/>
    <x v="0"/>
    <x v="0"/>
    <x v="151"/>
  </r>
  <r>
    <n v="526"/>
    <s v="TEDHAVA"/>
    <x v="506"/>
    <s v="Nihalchand Fulichand Turkar"/>
    <s v="Fulichand"/>
    <x v="0"/>
    <s v="APL"/>
    <x v="2"/>
    <s v="Yes"/>
    <s v="Yes"/>
    <n v="74"/>
    <x v="6"/>
    <x v="1"/>
    <x v="3"/>
    <x v="6"/>
  </r>
  <r>
    <n v="527"/>
    <s v="TEDHAVA"/>
    <x v="507"/>
    <s v="Nilaram Harichand Patle"/>
    <s v="Harichand Patle"/>
    <x v="0"/>
    <s v="APL"/>
    <x v="2"/>
    <s v="Yes"/>
    <s v="Yes"/>
    <n v="84"/>
    <x v="6"/>
    <x v="1"/>
    <x v="3"/>
    <x v="6"/>
  </r>
  <r>
    <n v="528"/>
    <s v="TEDHAVA"/>
    <x v="508"/>
    <s v="Nirmala Sonwane"/>
    <s v="Dulichnad"/>
    <x v="0"/>
    <s v="BPL"/>
    <x v="1"/>
    <s v="Yes"/>
    <s v="Yes"/>
    <n v="80"/>
    <x v="222"/>
    <x v="0"/>
    <x v="0"/>
    <x v="76"/>
  </r>
  <r>
    <n v="529"/>
    <s v="TEDHAVA"/>
    <x v="509"/>
    <s v="Nirmalabi Neware"/>
    <s v="Dulichand"/>
    <x v="0"/>
    <s v="APL"/>
    <x v="5"/>
    <s v="Yes"/>
    <s v="Yes"/>
    <n v="78"/>
    <x v="223"/>
    <x v="2"/>
    <x v="2"/>
    <x v="152"/>
  </r>
  <r>
    <n v="530"/>
    <s v="TEDHAVA"/>
    <x v="510"/>
    <s v="Nitmalabai Chandhu Raut"/>
    <s v="Chandhu Raut"/>
    <x v="1"/>
    <s v="APL"/>
    <x v="5"/>
    <s v="No"/>
    <s v="No"/>
    <n v="84"/>
    <x v="140"/>
    <x v="0"/>
    <x v="1"/>
    <x v="139"/>
  </r>
  <r>
    <n v="531"/>
    <s v="TEDHAVA"/>
    <x v="511"/>
    <s v="Omkar Akhadu Barmate"/>
    <s v="Akhadu Barmate"/>
    <x v="0"/>
    <s v="BPL"/>
    <x v="6"/>
    <s v="No"/>
    <s v="No"/>
    <n v="68"/>
    <x v="224"/>
    <x v="0"/>
    <x v="0"/>
    <x v="153"/>
  </r>
  <r>
    <n v="532"/>
    <s v="TEDHAVA"/>
    <x v="512"/>
    <s v="Pandu Fagu Pandharwar"/>
    <s v="Fagu Pandharwar"/>
    <x v="0"/>
    <s v="APL"/>
    <x v="2"/>
    <s v="No"/>
    <s v="No"/>
    <n v="35"/>
    <x v="6"/>
    <x v="1"/>
    <x v="3"/>
    <x v="6"/>
  </r>
  <r>
    <n v="533"/>
    <s v="TEDHAVA"/>
    <x v="513"/>
    <s v="Pandurang Nanaji Sonwane"/>
    <s v="Nanaji Sonwane"/>
    <x v="0"/>
    <s v="BPL"/>
    <x v="1"/>
    <s v="No"/>
    <s v="No"/>
    <n v="85"/>
    <x v="225"/>
    <x v="2"/>
    <x v="0"/>
    <x v="56"/>
  </r>
  <r>
    <n v="534"/>
    <s v="TEDHAVA"/>
    <x v="514"/>
    <s v="Pannalal Bharatlal Turkar"/>
    <s v="Bharatlal Turkar"/>
    <x v="0"/>
    <s v="APL"/>
    <x v="0"/>
    <s v="Yes"/>
    <s v="Yes"/>
    <n v="56"/>
    <x v="142"/>
    <x v="0"/>
    <x v="0"/>
    <x v="154"/>
  </r>
  <r>
    <n v="535"/>
    <s v="TEDHAVA"/>
    <x v="515"/>
    <s v="Paraj Barku Neware"/>
    <s v="Barku Neware"/>
    <x v="0"/>
    <s v="BPL"/>
    <x v="1"/>
    <s v="No"/>
    <s v="No"/>
    <n v="43"/>
    <x v="35"/>
    <x v="3"/>
    <x v="0"/>
    <x v="87"/>
  </r>
  <r>
    <n v="536"/>
    <s v="TEDHAVA"/>
    <x v="516"/>
    <s v="Parndas Chambharu Kolhatkar"/>
    <s v="Chambharu Kolhatkar"/>
    <x v="0"/>
    <s v="BPL"/>
    <x v="6"/>
    <s v="No"/>
    <s v="No"/>
    <n v="49"/>
    <x v="135"/>
    <x v="0"/>
    <x v="7"/>
    <x v="78"/>
  </r>
  <r>
    <n v="537"/>
    <s v="TEDHAVA"/>
    <x v="129"/>
    <s v="Parsaram Mathru Matre"/>
    <s v="Mathru"/>
    <x v="0"/>
    <s v="BPL"/>
    <x v="3"/>
    <s v="Yes"/>
    <s v="No"/>
    <n v="29"/>
    <x v="24"/>
    <x v="2"/>
    <x v="0"/>
    <x v="29"/>
  </r>
  <r>
    <n v="538"/>
    <s v="TEDHAVA"/>
    <x v="517"/>
    <s v="Patiram Hansulal Nagfase"/>
    <s v="Hansulal"/>
    <x v="0"/>
    <s v="APL"/>
    <x v="2"/>
    <s v="Yes"/>
    <s v="Yes"/>
    <n v="48"/>
    <x v="6"/>
    <x v="1"/>
    <x v="3"/>
    <x v="6"/>
  </r>
  <r>
    <n v="539"/>
    <s v="TEDHAVA"/>
    <x v="518"/>
    <s v="Prabha Wo Murari Ganvir"/>
    <s v="Murari Ganvir"/>
    <x v="1"/>
    <s v="BPL"/>
    <x v="6"/>
    <s v="No"/>
    <s v="No"/>
    <n v="30"/>
    <x v="40"/>
    <x v="0"/>
    <x v="0"/>
    <x v="142"/>
  </r>
  <r>
    <n v="540"/>
    <s v="TEDHAVA"/>
    <x v="519"/>
    <s v="Prabhudas Pyarelal Ganvir"/>
    <s v="Pyarelal"/>
    <x v="0"/>
    <s v="APL"/>
    <x v="2"/>
    <s v="Yes"/>
    <s v="Yes"/>
    <n v="53"/>
    <x v="6"/>
    <x v="1"/>
    <x v="3"/>
    <x v="6"/>
  </r>
  <r>
    <n v="541"/>
    <s v="TEDHAVA"/>
    <x v="520"/>
    <s v="Pradip Maniklal Lilhare"/>
    <s v="Maniklal"/>
    <x v="0"/>
    <s v="APL"/>
    <x v="2"/>
    <s v="Yes"/>
    <s v="Yes"/>
    <n v="75"/>
    <x v="6"/>
    <x v="1"/>
    <x v="3"/>
    <x v="6"/>
  </r>
  <r>
    <n v="542"/>
    <s v="TEDHAVA"/>
    <x v="521"/>
    <s v="Pralhad Premlal Choude"/>
    <s v="Premlal Choude"/>
    <x v="0"/>
    <s v="BPL"/>
    <x v="6"/>
    <s v="No"/>
    <s v="No"/>
    <n v="76"/>
    <x v="24"/>
    <x v="0"/>
    <x v="6"/>
    <x v="21"/>
  </r>
  <r>
    <n v="543"/>
    <s v="TEDHAVA"/>
    <x v="133"/>
    <s v="Pramila Suklal Sonwane"/>
    <s v="Suklal"/>
    <x v="1"/>
    <s v="APL"/>
    <x v="5"/>
    <s v="Yes"/>
    <s v="Yes"/>
    <n v="77"/>
    <x v="226"/>
    <x v="3"/>
    <x v="0"/>
    <x v="155"/>
  </r>
  <r>
    <n v="544"/>
    <s v="TEDHAVA"/>
    <x v="522"/>
    <s v="Pramilabai Lhakhan Ambhadare"/>
    <s v="Lhakhan Ambhadare"/>
    <x v="1"/>
    <s v="APL"/>
    <x v="5"/>
    <s v="Yes"/>
    <s v="Yes"/>
    <n v="65"/>
    <x v="26"/>
    <x v="0"/>
    <x v="6"/>
    <x v="12"/>
  </r>
  <r>
    <n v="545"/>
    <s v="TEDHAVA"/>
    <x v="523"/>
    <s v="Prasaram Atmaram Baghele"/>
    <s v="Atmaram Baghele"/>
    <x v="0"/>
    <s v="APL"/>
    <x v="0"/>
    <s v="Yes"/>
    <s v="Yes"/>
    <n v="70"/>
    <x v="227"/>
    <x v="0"/>
    <x v="0"/>
    <x v="156"/>
  </r>
  <r>
    <n v="546"/>
    <s v="TEDHAVA"/>
    <x v="524"/>
    <s v="Prasaram Chitaman Thebhare"/>
    <s v="Chitaman Thebhare"/>
    <x v="0"/>
    <s v="APL"/>
    <x v="2"/>
    <s v="Yes"/>
    <s v="Yes"/>
    <n v="37"/>
    <x v="6"/>
    <x v="1"/>
    <x v="3"/>
    <x v="6"/>
  </r>
  <r>
    <n v="547"/>
    <s v="TEDHAVA"/>
    <x v="525"/>
    <s v="Pravin Mahadev Gajbhiye"/>
    <s v="Mahadev Gajbhiye"/>
    <x v="0"/>
    <s v="BPL"/>
    <x v="6"/>
    <s v="Yes"/>
    <s v="Yes"/>
    <n v="52"/>
    <x v="47"/>
    <x v="0"/>
    <x v="0"/>
    <x v="88"/>
  </r>
  <r>
    <n v="548"/>
    <s v="TEDHAVA"/>
    <x v="526"/>
    <s v="Premlal Kodusao Dhuware"/>
    <s v="Kodusao Dhuware"/>
    <x v="0"/>
    <s v="APL"/>
    <x v="0"/>
    <s v="Yes"/>
    <s v="Yes"/>
    <n v="34"/>
    <x v="228"/>
    <x v="0"/>
    <x v="0"/>
    <x v="72"/>
  </r>
  <r>
    <n v="549"/>
    <s v="TEDHAVA"/>
    <x v="527"/>
    <s v="Pritamlal Hiralal Turkar"/>
    <s v="Hiralal"/>
    <x v="0"/>
    <s v="APL"/>
    <x v="0"/>
    <s v="Yes"/>
    <s v="Yes"/>
    <n v="51"/>
    <x v="84"/>
    <x v="3"/>
    <x v="5"/>
    <x v="108"/>
  </r>
  <r>
    <n v="550"/>
    <s v="TEDHAVA"/>
    <x v="528"/>
    <s v="Pruthviraj Beniram Turkar"/>
    <s v="Beniram Turkar"/>
    <x v="0"/>
    <s v="APL"/>
    <x v="5"/>
    <s v="Yes"/>
    <s v="Yes"/>
    <n v="60"/>
    <x v="229"/>
    <x v="0"/>
    <x v="0"/>
    <x v="117"/>
  </r>
  <r>
    <n v="551"/>
    <s v="TEDHAVA"/>
    <x v="139"/>
    <s v="Pruthviraj Metha Meshram"/>
    <s v="Metha"/>
    <x v="0"/>
    <s v="APL"/>
    <x v="2"/>
    <s v="Yes"/>
    <s v="No"/>
    <n v="76"/>
    <x v="6"/>
    <x v="1"/>
    <x v="3"/>
    <x v="6"/>
  </r>
  <r>
    <n v="552"/>
    <s v="TEDHAVA"/>
    <x v="141"/>
    <s v="Puranlal Karu Mane"/>
    <s v="Karu"/>
    <x v="0"/>
    <s v="APL"/>
    <x v="2"/>
    <s v="Yes"/>
    <s v="Yes"/>
    <n v="64"/>
    <x v="6"/>
    <x v="1"/>
    <x v="3"/>
    <x v="6"/>
  </r>
  <r>
    <n v="553"/>
    <s v="TEDHAVA"/>
    <x v="529"/>
    <s v="Purnabai Chunnilal Bisen"/>
    <s v="Chunnilal Bisen"/>
    <x v="0"/>
    <s v="APL"/>
    <x v="5"/>
    <s v="Yes"/>
    <s v="Yes"/>
    <n v="50"/>
    <x v="230"/>
    <x v="0"/>
    <x v="8"/>
    <x v="131"/>
  </r>
  <r>
    <n v="554"/>
    <s v="TEDHAVA"/>
    <x v="530"/>
    <s v="Purnlal Barku Neware"/>
    <s v="Barku Neware"/>
    <x v="0"/>
    <s v="APL"/>
    <x v="2"/>
    <s v="No"/>
    <s v="No"/>
    <n v="42"/>
    <x v="6"/>
    <x v="1"/>
    <x v="3"/>
    <x v="6"/>
  </r>
  <r>
    <n v="555"/>
    <s v="TEDHAVA"/>
    <x v="531"/>
    <s v="Purwantabai Dasrath Bisen"/>
    <s v="Dasrath Bisen"/>
    <x v="1"/>
    <s v="BPL"/>
    <x v="3"/>
    <s v="Yes"/>
    <s v="Yes"/>
    <n v="40"/>
    <x v="225"/>
    <x v="3"/>
    <x v="4"/>
    <x v="133"/>
  </r>
  <r>
    <n v="556"/>
    <s v="TEDHAVA"/>
    <x v="532"/>
    <s v="Pustakalabai Devaram Bisen"/>
    <s v="Devaram Bisen"/>
    <x v="1"/>
    <s v="APL"/>
    <x v="5"/>
    <s v="Yes"/>
    <s v="Yes"/>
    <n v="71"/>
    <x v="231"/>
    <x v="0"/>
    <x v="0"/>
    <x v="64"/>
  </r>
  <r>
    <n v="557"/>
    <s v="TEDHAVA"/>
    <x v="533"/>
    <s v="Pustkala Faglal Turkar"/>
    <s v="Faglal"/>
    <x v="1"/>
    <s v="BPL"/>
    <x v="3"/>
    <s v="Yes"/>
    <s v="Yes"/>
    <n v="58"/>
    <x v="40"/>
    <x v="0"/>
    <x v="2"/>
    <x v="117"/>
  </r>
  <r>
    <n v="558"/>
    <s v="TEDHAVA"/>
    <x v="534"/>
    <s v="Radhelal Balaram Katre"/>
    <s v="Balaram Katre"/>
    <x v="0"/>
    <s v="APL"/>
    <x v="0"/>
    <s v="Yes"/>
    <s v="Yes"/>
    <n v="28"/>
    <x v="232"/>
    <x v="0"/>
    <x v="0"/>
    <x v="157"/>
  </r>
  <r>
    <n v="559"/>
    <s v="TEDHAVA"/>
    <x v="535"/>
    <s v="Radhelal Diwaru Sawankar"/>
    <s v="Diwaru Sawankar"/>
    <x v="0"/>
    <s v="BPL"/>
    <x v="6"/>
    <s v="No"/>
    <s v="No"/>
    <n v="33"/>
    <x v="131"/>
    <x v="3"/>
    <x v="0"/>
    <x v="158"/>
  </r>
  <r>
    <n v="560"/>
    <s v="TEDHAVA"/>
    <x v="536"/>
    <s v="Radhelal Sadhoba Meshram"/>
    <s v="Sadhoba Meshram"/>
    <x v="0"/>
    <s v="BPL"/>
    <x v="3"/>
    <s v="Yes"/>
    <s v="Yes"/>
    <n v="37"/>
    <x v="27"/>
    <x v="0"/>
    <x v="0"/>
    <x v="110"/>
  </r>
  <r>
    <n v="561"/>
    <s v="TEDHAVA"/>
    <x v="145"/>
    <s v="Radhelal Sakatu Pache"/>
    <s v="Sakatu"/>
    <x v="0"/>
    <s v="APL"/>
    <x v="2"/>
    <s v="Yes"/>
    <s v="Yes"/>
    <n v="71"/>
    <x v="6"/>
    <x v="1"/>
    <x v="3"/>
    <x v="6"/>
  </r>
  <r>
    <n v="562"/>
    <s v="TEDHAVA"/>
    <x v="537"/>
    <s v="Radhelal Shriram Sonwane"/>
    <s v="Shriram Sonwane"/>
    <x v="0"/>
    <s v="BPL"/>
    <x v="1"/>
    <s v="Yes"/>
    <s v="Yes"/>
    <n v="45"/>
    <x v="233"/>
    <x v="0"/>
    <x v="4"/>
    <x v="33"/>
  </r>
  <r>
    <n v="563"/>
    <s v="TEDHAVA"/>
    <x v="538"/>
    <s v="Radhelal Tikaram Bisen"/>
    <s v="Tikaram Bisen"/>
    <x v="0"/>
    <s v="APL"/>
    <x v="0"/>
    <s v="No"/>
    <s v="No"/>
    <n v="56"/>
    <x v="25"/>
    <x v="0"/>
    <x v="8"/>
    <x v="145"/>
  </r>
  <r>
    <n v="564"/>
    <s v="TEDHAVA"/>
    <x v="539"/>
    <s v="Radhesham Kisanlal Turkar"/>
    <s v="Kisanlal Turkar"/>
    <x v="0"/>
    <s v="APL"/>
    <x v="0"/>
    <s v="Yes"/>
    <s v="Yes"/>
    <n v="57"/>
    <x v="234"/>
    <x v="0"/>
    <x v="0"/>
    <x v="77"/>
  </r>
  <r>
    <n v="565"/>
    <s v="TEDHAVA"/>
    <x v="540"/>
    <s v="Radhesham Ramlal Dakhanwar"/>
    <s v="Ramlal Dakhanwar"/>
    <x v="0"/>
    <s v="APL"/>
    <x v="0"/>
    <s v="Yes"/>
    <s v="Yes"/>
    <n v="43"/>
    <x v="235"/>
    <x v="3"/>
    <x v="6"/>
    <x v="159"/>
  </r>
  <r>
    <n v="566"/>
    <s v="TEDHAVA"/>
    <x v="541"/>
    <s v="Radheshyam Nanaji Sonwane"/>
    <s v="Nanaji Sonwane"/>
    <x v="1"/>
    <s v="BPL"/>
    <x v="1"/>
    <s v="No"/>
    <s v="No"/>
    <n v="73"/>
    <x v="236"/>
    <x v="3"/>
    <x v="4"/>
    <x v="31"/>
  </r>
  <r>
    <n v="567"/>
    <s v="TEDHAVA"/>
    <x v="542"/>
    <s v="Radheshyam Nandram Patle"/>
    <s v="Nandram Patle"/>
    <x v="0"/>
    <s v="APL"/>
    <x v="0"/>
    <s v="Yes"/>
    <s v="Yes"/>
    <n v="38"/>
    <x v="120"/>
    <x v="3"/>
    <x v="7"/>
    <x v="64"/>
  </r>
  <r>
    <n v="568"/>
    <s v="TEDHAVA"/>
    <x v="543"/>
    <s v="Rajendra Kumar Gendlal Matare"/>
    <s v="Gendlal"/>
    <x v="0"/>
    <s v="APL"/>
    <x v="0"/>
    <s v="Yes"/>
    <s v="Yes"/>
    <n v="49"/>
    <x v="237"/>
    <x v="0"/>
    <x v="0"/>
    <x v="145"/>
  </r>
  <r>
    <n v="569"/>
    <s v="TEDHAVA"/>
    <x v="544"/>
    <s v="Rajendra Hiralal Matre"/>
    <s v="Hiralal Matre"/>
    <x v="0"/>
    <s v="APL"/>
    <x v="2"/>
    <s v="Yes"/>
    <s v="Yes"/>
    <n v="50"/>
    <x v="6"/>
    <x v="1"/>
    <x v="3"/>
    <x v="6"/>
  </r>
  <r>
    <n v="570"/>
    <s v="TEDHAVA"/>
    <x v="545"/>
    <s v="Rajendra Masaram Ukey"/>
    <s v="Masaram Ukey"/>
    <x v="0"/>
    <s v="APL"/>
    <x v="2"/>
    <s v="No"/>
    <s v="No"/>
    <n v="85"/>
    <x v="6"/>
    <x v="1"/>
    <x v="3"/>
    <x v="6"/>
  </r>
  <r>
    <n v="571"/>
    <s v="TEDHAVA"/>
    <x v="546"/>
    <s v="Rajesh Bakaram Bisen"/>
    <s v="Bakaram"/>
    <x v="0"/>
    <s v="APL"/>
    <x v="2"/>
    <s v="Yes"/>
    <s v="Yes"/>
    <n v="74"/>
    <x v="6"/>
    <x v="1"/>
    <x v="3"/>
    <x v="6"/>
  </r>
  <r>
    <n v="572"/>
    <s v="TEDHAVA"/>
    <x v="151"/>
    <s v="Rajesh Fulchand Matare"/>
    <s v="Fulichand"/>
    <x v="0"/>
    <s v="APL"/>
    <x v="2"/>
    <s v="Yes"/>
    <s v="Yes"/>
    <n v="41"/>
    <x v="6"/>
    <x v="1"/>
    <x v="3"/>
    <x v="6"/>
  </r>
  <r>
    <n v="573"/>
    <s v="TEDHAVA"/>
    <x v="547"/>
    <s v="Rajesh Kumar Rambakas Pache"/>
    <s v="Rambakas"/>
    <x v="0"/>
    <s v="APL"/>
    <x v="0"/>
    <s v="Yes"/>
    <s v="Yes"/>
    <n v="68"/>
    <x v="238"/>
    <x v="0"/>
    <x v="6"/>
    <x v="110"/>
  </r>
  <r>
    <n v="574"/>
    <s v="TEDHAVA"/>
    <x v="548"/>
    <s v="Rajesh Lataru Turkar"/>
    <s v="Lataru"/>
    <x v="0"/>
    <s v="APL"/>
    <x v="2"/>
    <s v="Yes"/>
    <s v="Yes"/>
    <n v="82"/>
    <x v="6"/>
    <x v="1"/>
    <x v="3"/>
    <x v="6"/>
  </r>
  <r>
    <n v="575"/>
    <s v="TEDHAVA"/>
    <x v="549"/>
    <s v="Rajesh Mukunda Turkar"/>
    <s v="Mukunda"/>
    <x v="0"/>
    <s v="APL"/>
    <x v="0"/>
    <s v="Yes"/>
    <s v="Yes"/>
    <n v="58"/>
    <x v="129"/>
    <x v="0"/>
    <x v="8"/>
    <x v="25"/>
  </r>
  <r>
    <n v="576"/>
    <s v="TEDHAVA"/>
    <x v="153"/>
    <s v="Rajkumar Bayapar Singanadhupe"/>
    <s v="Bayapar"/>
    <x v="0"/>
    <s v="BPL"/>
    <x v="3"/>
    <s v="Yes"/>
    <s v="Yes"/>
    <n v="83"/>
    <x v="185"/>
    <x v="0"/>
    <x v="4"/>
    <x v="46"/>
  </r>
  <r>
    <n v="577"/>
    <s v="TEDHAVA"/>
    <x v="550"/>
    <s v="Rajkumar Dehalu Turkar"/>
    <s v="Dehalu Turkar"/>
    <x v="0"/>
    <s v="APL"/>
    <x v="0"/>
    <s v="No"/>
    <s v="No"/>
    <n v="71"/>
    <x v="239"/>
    <x v="3"/>
    <x v="6"/>
    <x v="160"/>
  </r>
  <r>
    <n v="578"/>
    <s v="TEDHAVA"/>
    <x v="551"/>
    <s v="Rajkumar Surjalal Dhuware"/>
    <s v="Surjalal Dhuware"/>
    <x v="0"/>
    <s v="BPL"/>
    <x v="3"/>
    <s v="Yes"/>
    <s v="Yes"/>
    <n v="65"/>
    <x v="195"/>
    <x v="0"/>
    <x v="7"/>
    <x v="20"/>
  </r>
  <r>
    <n v="579"/>
    <s v="TEDHAVA"/>
    <x v="552"/>
    <s v="Rajman Shravan Kolhatkar"/>
    <s v="Shravan Kolhatkar"/>
    <x v="0"/>
    <s v="APL"/>
    <x v="6"/>
    <s v="No"/>
    <s v="No"/>
    <n v="44"/>
    <x v="137"/>
    <x v="0"/>
    <x v="0"/>
    <x v="37"/>
  </r>
  <r>
    <n v="580"/>
    <s v="TEDHAVA"/>
    <x v="553"/>
    <s v="Raju Sonwane"/>
    <s v="Kodu"/>
    <x v="0"/>
    <s v="APL"/>
    <x v="2"/>
    <s v="Yes"/>
    <s v="Yes"/>
    <n v="44"/>
    <x v="6"/>
    <x v="1"/>
    <x v="3"/>
    <x v="6"/>
  </r>
  <r>
    <n v="581"/>
    <s v="TEDHAVA"/>
    <x v="554"/>
    <s v="Raju Gendlal Matre"/>
    <s v="Gendlal"/>
    <x v="0"/>
    <s v="APL"/>
    <x v="0"/>
    <s v="Yes"/>
    <s v="Yes"/>
    <n v="51"/>
    <x v="58"/>
    <x v="2"/>
    <x v="2"/>
    <x v="26"/>
  </r>
  <r>
    <n v="582"/>
    <s v="TEDHAVA"/>
    <x v="555"/>
    <s v="Rakesh Budharam Ganvir"/>
    <s v="Budharam Ganvir"/>
    <x v="0"/>
    <s v="BPL"/>
    <x v="6"/>
    <s v="No"/>
    <s v="No"/>
    <n v="49"/>
    <x v="166"/>
    <x v="0"/>
    <x v="4"/>
    <x v="42"/>
  </r>
  <r>
    <n v="583"/>
    <s v="TEDHAVA"/>
    <x v="161"/>
    <s v="Rama Zagadu Pache"/>
    <s v="Zagadu"/>
    <x v="0"/>
    <s v="BPL"/>
    <x v="3"/>
    <s v="Yes"/>
    <s v="Yes"/>
    <n v="61"/>
    <x v="101"/>
    <x v="0"/>
    <x v="0"/>
    <x v="55"/>
  </r>
  <r>
    <n v="584"/>
    <s v="TEDHAVA"/>
    <x v="556"/>
    <s v="Ramaji Jivan Kolhatkar"/>
    <s v="Jivan Kolhatkar"/>
    <x v="0"/>
    <s v="BPL"/>
    <x v="6"/>
    <s v="Yes"/>
    <s v="Yes"/>
    <n v="55"/>
    <x v="159"/>
    <x v="3"/>
    <x v="0"/>
    <x v="47"/>
  </r>
  <r>
    <n v="585"/>
    <s v="TEDHAVA"/>
    <x v="557"/>
    <s v="Ramaji Narbad Patle"/>
    <s v="Narbad Patle"/>
    <x v="0"/>
    <s v="APL"/>
    <x v="0"/>
    <s v="Yes"/>
    <s v="Yes"/>
    <n v="84"/>
    <x v="239"/>
    <x v="0"/>
    <x v="5"/>
    <x v="161"/>
  </r>
  <r>
    <n v="586"/>
    <s v="TEDHAVA"/>
    <x v="558"/>
    <s v="Ramalal Bhaiyalal Bisen"/>
    <s v="Bhaiyalal Bisen"/>
    <x v="0"/>
    <s v="APL"/>
    <x v="2"/>
    <s v="No"/>
    <s v="No"/>
    <n v="69"/>
    <x v="6"/>
    <x v="1"/>
    <x v="3"/>
    <x v="6"/>
  </r>
  <r>
    <n v="587"/>
    <s v="TEDHAVA"/>
    <x v="559"/>
    <s v="Ramalal Hari Pihare"/>
    <s v="Hari Pihare"/>
    <x v="0"/>
    <s v="BPL"/>
    <x v="1"/>
    <s v="No"/>
    <s v="No"/>
    <n v="54"/>
    <x v="240"/>
    <x v="0"/>
    <x v="2"/>
    <x v="162"/>
  </r>
  <r>
    <n v="588"/>
    <s v="TEDHAVA"/>
    <x v="560"/>
    <s v="Ramasao Terkayysao Chouragade"/>
    <s v="Terkayysao Chouragade"/>
    <x v="0"/>
    <s v="BPL"/>
    <x v="3"/>
    <s v="Yes"/>
    <s v="Yes"/>
    <n v="40"/>
    <x v="22"/>
    <x v="0"/>
    <x v="5"/>
    <x v="117"/>
  </r>
  <r>
    <n v="589"/>
    <s v="TEDHAVA"/>
    <x v="561"/>
    <s v="Rambakas Mathuji Rahangadale"/>
    <s v="Mathuji Rahangadale"/>
    <x v="0"/>
    <s v="APL"/>
    <x v="0"/>
    <s v="Yes"/>
    <s v="Yes"/>
    <n v="63"/>
    <x v="241"/>
    <x v="0"/>
    <x v="0"/>
    <x v="163"/>
  </r>
  <r>
    <n v="590"/>
    <s v="TEDHAVA"/>
    <x v="562"/>
    <s v="Ramchand Sukaji Turkar"/>
    <s v="Sukaji"/>
    <x v="0"/>
    <s v="BPL"/>
    <x v="3"/>
    <s v="Yes"/>
    <s v="Yes"/>
    <n v="71"/>
    <x v="29"/>
    <x v="0"/>
    <x v="1"/>
    <x v="23"/>
  </r>
  <r>
    <n v="591"/>
    <s v="TEDHAVA"/>
    <x v="563"/>
    <s v="Ramdas Chamabhru Kolhatkar"/>
    <s v="Chamabhru Kolhatkar"/>
    <x v="0"/>
    <s v="APL"/>
    <x v="2"/>
    <s v="Yes"/>
    <s v="Yes"/>
    <n v="64"/>
    <x v="6"/>
    <x v="1"/>
    <x v="3"/>
    <x v="6"/>
  </r>
  <r>
    <n v="592"/>
    <s v="TEDHAVA"/>
    <x v="564"/>
    <s v="Ramesh Amrut Meshram"/>
    <s v="Amrut Meshram"/>
    <x v="0"/>
    <s v="APL"/>
    <x v="6"/>
    <s v="Yes"/>
    <s v="Yes"/>
    <n v="81"/>
    <x v="242"/>
    <x v="0"/>
    <x v="0"/>
    <x v="96"/>
  </r>
  <r>
    <n v="593"/>
    <s v="TEDHAVA"/>
    <x v="565"/>
    <s v="Ramesh Isulal Thakare"/>
    <s v="Isulal Thakare"/>
    <x v="0"/>
    <s v="APL"/>
    <x v="2"/>
    <s v="Yes"/>
    <s v="Yes"/>
    <n v="52"/>
    <x v="6"/>
    <x v="1"/>
    <x v="3"/>
    <x v="6"/>
  </r>
  <r>
    <n v="594"/>
    <s v="TEDHAVA"/>
    <x v="566"/>
    <s v="Ramesh Magru Bisen"/>
    <s v="Magru Bisen"/>
    <x v="0"/>
    <s v="APL"/>
    <x v="7"/>
    <s v="Yes"/>
    <s v="Yes"/>
    <n v="29"/>
    <x v="74"/>
    <x v="0"/>
    <x v="2"/>
    <x v="8"/>
  </r>
  <r>
    <n v="595"/>
    <s v="TEDHAVA"/>
    <x v="567"/>
    <s v="Ramesh Sakharam Tekam"/>
    <s v="Sakharam Tekam"/>
    <x v="0"/>
    <s v="BPL"/>
    <x v="1"/>
    <s v="Yes"/>
    <s v="Yes"/>
    <n v="28"/>
    <x v="99"/>
    <x v="3"/>
    <x v="0"/>
    <x v="51"/>
  </r>
  <r>
    <n v="596"/>
    <s v="TEDHAVA"/>
    <x v="568"/>
    <s v="Ramesh Tejalal Turkar"/>
    <s v="Tejalal Turkar"/>
    <x v="0"/>
    <s v="APL"/>
    <x v="0"/>
    <s v="Yes"/>
    <s v="Yes"/>
    <n v="29"/>
    <x v="32"/>
    <x v="0"/>
    <x v="0"/>
    <x v="164"/>
  </r>
  <r>
    <n v="597"/>
    <s v="TEDHAVA"/>
    <x v="569"/>
    <s v="Rameshprasad Yadoprasad Pande"/>
    <s v="Yadoprasad Pande"/>
    <x v="0"/>
    <s v="APL"/>
    <x v="4"/>
    <s v="No"/>
    <s v="No"/>
    <n v="68"/>
    <x v="229"/>
    <x v="0"/>
    <x v="0"/>
    <x v="99"/>
  </r>
  <r>
    <n v="598"/>
    <s v="TEDHAVA"/>
    <x v="570"/>
    <s v="Rameshwar Nandlal Turkar"/>
    <s v="Nandlal Turkar"/>
    <x v="0"/>
    <s v="APL"/>
    <x v="0"/>
    <s v="No"/>
    <s v="No"/>
    <n v="64"/>
    <x v="243"/>
    <x v="2"/>
    <x v="0"/>
    <x v="40"/>
  </r>
  <r>
    <n v="599"/>
    <s v="TEDHAVA"/>
    <x v="571"/>
    <s v="Rameshwar Nandram Vasnik"/>
    <s v="Nandram Vasnik"/>
    <x v="0"/>
    <s v="BPL"/>
    <x v="6"/>
    <s v="No"/>
    <s v="No"/>
    <n v="82"/>
    <x v="244"/>
    <x v="0"/>
    <x v="1"/>
    <x v="31"/>
  </r>
  <r>
    <n v="600"/>
    <s v="TEDHAVA"/>
    <x v="572"/>
    <s v="Rameshwar Turkar"/>
    <s v="Nandlal"/>
    <x v="0"/>
    <s v="APL"/>
    <x v="0"/>
    <s v="Yes"/>
    <s v="Yes"/>
    <n v="52"/>
    <x v="245"/>
    <x v="0"/>
    <x v="0"/>
    <x v="165"/>
  </r>
  <r>
    <n v="601"/>
    <s v="TEDHAVA"/>
    <x v="169"/>
    <s v="Ramkishor Urkuda Matare"/>
    <s v="Urkuda"/>
    <x v="0"/>
    <s v="APL"/>
    <x v="2"/>
    <s v="Yes"/>
    <s v="Yes"/>
    <n v="36"/>
    <x v="6"/>
    <x v="1"/>
    <x v="3"/>
    <x v="6"/>
  </r>
  <r>
    <n v="602"/>
    <s v="TEDHAVA"/>
    <x v="573"/>
    <s v="Ramlal Bisen"/>
    <s v="Bhayalal"/>
    <x v="0"/>
    <s v="APL"/>
    <x v="2"/>
    <s v="Yes"/>
    <s v="Yes"/>
    <n v="38"/>
    <x v="6"/>
    <x v="1"/>
    <x v="3"/>
    <x v="6"/>
  </r>
  <r>
    <n v="603"/>
    <s v="TEDHAVA"/>
    <x v="574"/>
    <s v="Ramlal Maroti Nagfase"/>
    <s v="Maroti"/>
    <x v="0"/>
    <s v="BPL"/>
    <x v="3"/>
    <s v="Yes"/>
    <s v="Yes"/>
    <n v="62"/>
    <x v="246"/>
    <x v="0"/>
    <x v="6"/>
    <x v="65"/>
  </r>
  <r>
    <n v="604"/>
    <s v="TEDHAVA"/>
    <x v="575"/>
    <s v="Ramprasad Tekalal Turkar"/>
    <s v="Tekalal Turkar"/>
    <x v="0"/>
    <s v="APL"/>
    <x v="0"/>
    <s v="Yes"/>
    <s v="Yes"/>
    <n v="56"/>
    <x v="114"/>
    <x v="3"/>
    <x v="2"/>
    <x v="63"/>
  </r>
  <r>
    <n v="605"/>
    <s v="TEDHAVA"/>
    <x v="576"/>
    <s v="Ramu Sakaram Bagade"/>
    <s v="Sakaram"/>
    <x v="0"/>
    <s v="BPL"/>
    <x v="3"/>
    <s v="Yes"/>
    <s v="Yes"/>
    <n v="67"/>
    <x v="247"/>
    <x v="0"/>
    <x v="6"/>
    <x v="46"/>
  </r>
  <r>
    <n v="606"/>
    <s v="TEDHAVA"/>
    <x v="577"/>
    <s v="Ranglal Turkar"/>
    <s v="Narbad"/>
    <x v="0"/>
    <s v="APL"/>
    <x v="0"/>
    <s v="Yes"/>
    <s v="Yes"/>
    <n v="83"/>
    <x v="40"/>
    <x v="0"/>
    <x v="8"/>
    <x v="25"/>
  </r>
  <r>
    <n v="607"/>
    <s v="TEDHAVA"/>
    <x v="578"/>
    <s v="Ratabai Wo Chandan Chouhan"/>
    <s v="Chandan Chouhan"/>
    <x v="1"/>
    <s v="BPL"/>
    <x v="6"/>
    <s v="Yes"/>
    <s v="Yes"/>
    <n v="71"/>
    <x v="162"/>
    <x v="0"/>
    <x v="7"/>
    <x v="78"/>
  </r>
  <r>
    <n v="608"/>
    <s v="TEDHAVA"/>
    <x v="173"/>
    <s v="Ratiram Jaggu Dandare"/>
    <s v="Jaggu"/>
    <x v="0"/>
    <s v="BPL"/>
    <x v="3"/>
    <s v="Yes"/>
    <s v="No"/>
    <n v="56"/>
    <x v="129"/>
    <x v="0"/>
    <x v="6"/>
    <x v="159"/>
  </r>
  <r>
    <n v="609"/>
    <s v="TEDHAVA"/>
    <x v="579"/>
    <s v="Ratiram Puranlal Patle"/>
    <s v="Puranlal Patle"/>
    <x v="0"/>
    <s v="APL"/>
    <x v="0"/>
    <s v="Yes"/>
    <s v="Yes"/>
    <n v="68"/>
    <x v="170"/>
    <x v="0"/>
    <x v="1"/>
    <x v="1"/>
  </r>
  <r>
    <n v="610"/>
    <s v="TEDHAVA"/>
    <x v="580"/>
    <s v="Ravikumar Govind Turkar"/>
    <s v="Govind"/>
    <x v="0"/>
    <s v="APL"/>
    <x v="0"/>
    <s v="Yes"/>
    <s v="Yes"/>
    <n v="55"/>
    <x v="212"/>
    <x v="0"/>
    <x v="1"/>
    <x v="132"/>
  </r>
  <r>
    <n v="611"/>
    <s v="TEDHAVA"/>
    <x v="581"/>
    <s v="Ravindra Bhagawat Kolhatkar"/>
    <s v="Bhagawat Kolhatkar"/>
    <x v="0"/>
    <s v="BPL"/>
    <x v="6"/>
    <s v="No"/>
    <s v="No"/>
    <n v="68"/>
    <x v="19"/>
    <x v="2"/>
    <x v="2"/>
    <x v="21"/>
  </r>
  <r>
    <n v="612"/>
    <s v="TEDHAVA"/>
    <x v="582"/>
    <s v="Ravindranath Pruthaviraj Turkar"/>
    <s v="Pruthaviraj Turkar"/>
    <x v="0"/>
    <s v="APL"/>
    <x v="2"/>
    <s v="Yes"/>
    <s v="Yes"/>
    <n v="51"/>
    <x v="6"/>
    <x v="1"/>
    <x v="3"/>
    <x v="6"/>
  </r>
  <r>
    <n v="613"/>
    <s v="TEDHAVA"/>
    <x v="583"/>
    <s v="Rekhalal Bhagawat Kolhatkar"/>
    <s v="Bhagawat Kolhatkar"/>
    <x v="0"/>
    <s v="BPL"/>
    <x v="6"/>
    <s v="No"/>
    <s v="No"/>
    <n v="82"/>
    <x v="248"/>
    <x v="0"/>
    <x v="1"/>
    <x v="166"/>
  </r>
  <r>
    <n v="614"/>
    <s v="TEDHAVA"/>
    <x v="584"/>
    <s v="Rekhalal Bholaram Rane"/>
    <s v="Bholaram Rane"/>
    <x v="0"/>
    <s v="APL"/>
    <x v="2"/>
    <s v="No"/>
    <s v="No"/>
    <n v="46"/>
    <x v="6"/>
    <x v="1"/>
    <x v="3"/>
    <x v="6"/>
  </r>
  <r>
    <n v="615"/>
    <s v="TEDHAVA"/>
    <x v="585"/>
    <s v="Rekhalal Vanusa Turkar"/>
    <s v="Vanusa Turkar"/>
    <x v="0"/>
    <s v="APL"/>
    <x v="0"/>
    <s v="Yes"/>
    <s v="Yes"/>
    <n v="74"/>
    <x v="249"/>
    <x v="0"/>
    <x v="2"/>
    <x v="141"/>
  </r>
  <r>
    <n v="616"/>
    <s v="TEDHAVA"/>
    <x v="586"/>
    <s v="Revaram Asaram Bisen"/>
    <s v="Asaram Bisen"/>
    <x v="0"/>
    <s v="BPL"/>
    <x v="3"/>
    <s v="Yes"/>
    <s v="Yes"/>
    <n v="37"/>
    <x v="250"/>
    <x v="0"/>
    <x v="0"/>
    <x v="165"/>
  </r>
  <r>
    <n v="617"/>
    <s v="TEDHAVA"/>
    <x v="587"/>
    <s v="Rina Vinod Adakane"/>
    <s v="Vinod Adakane"/>
    <x v="1"/>
    <s v="APL"/>
    <x v="6"/>
    <s v="No"/>
    <s v="No"/>
    <n v="43"/>
    <x v="201"/>
    <x v="0"/>
    <x v="7"/>
    <x v="91"/>
  </r>
  <r>
    <n v="618"/>
    <s v="TEDHAVA"/>
    <x v="588"/>
    <s v="Rumanbai Bewa Dulichad Sonwane"/>
    <s v="Dulichad Sonwane"/>
    <x v="1"/>
    <s v="BPL"/>
    <x v="1"/>
    <s v="No"/>
    <s v="No"/>
    <n v="29"/>
    <x v="84"/>
    <x v="3"/>
    <x v="0"/>
    <x v="117"/>
  </r>
  <r>
    <n v="619"/>
    <s v="TEDHAVA"/>
    <x v="589"/>
    <s v="Rupchand Barku Kolhatkar"/>
    <s v="Barku Kolhatkar"/>
    <x v="0"/>
    <s v="BPL"/>
    <x v="6"/>
    <s v="No"/>
    <s v="No"/>
    <n v="70"/>
    <x v="251"/>
    <x v="0"/>
    <x v="2"/>
    <x v="62"/>
  </r>
  <r>
    <n v="620"/>
    <s v="TEDHAVA"/>
    <x v="590"/>
    <s v="Rupchand Brijalal Tembhare"/>
    <s v="Brijalal Tembhare"/>
    <x v="0"/>
    <s v="APL"/>
    <x v="0"/>
    <s v="Yes"/>
    <s v="Yes"/>
    <n v="36"/>
    <x v="179"/>
    <x v="0"/>
    <x v="2"/>
    <x v="1"/>
  </r>
  <r>
    <n v="621"/>
    <s v="TEDHAVA"/>
    <x v="591"/>
    <s v="Rupchand Lakharam Turkar"/>
    <s v="Lakharam Turkar"/>
    <x v="0"/>
    <s v="APL"/>
    <x v="4"/>
    <s v="No"/>
    <s v="No"/>
    <n v="39"/>
    <x v="77"/>
    <x v="0"/>
    <x v="6"/>
    <x v="63"/>
  </r>
  <r>
    <n v="622"/>
    <s v="TEDHAVA"/>
    <x v="181"/>
    <s v="Sabulal Shyamlal Nagfase"/>
    <s v="Shyamlal"/>
    <x v="0"/>
    <s v="APL"/>
    <x v="2"/>
    <s v="Yes"/>
    <s v="Yes"/>
    <n v="77"/>
    <x v="6"/>
    <x v="1"/>
    <x v="3"/>
    <x v="6"/>
  </r>
  <r>
    <n v="623"/>
    <s v="TEDHAVA"/>
    <x v="592"/>
    <s v="Sachin Devendra Rahangadale"/>
    <s v="Devendra Rahangadale"/>
    <x v="0"/>
    <s v="APL"/>
    <x v="0"/>
    <s v="Yes"/>
    <s v="Yes"/>
    <n v="39"/>
    <x v="252"/>
    <x v="0"/>
    <x v="1"/>
    <x v="167"/>
  </r>
  <r>
    <n v="624"/>
    <s v="TEDHAVA"/>
    <x v="593"/>
    <s v="Sadu Tulasiram Jaitawar"/>
    <s v="Tulasiram Jaitawar"/>
    <x v="0"/>
    <s v="APL"/>
    <x v="0"/>
    <s v="No"/>
    <s v="No"/>
    <n v="70"/>
    <x v="253"/>
    <x v="0"/>
    <x v="0"/>
    <x v="15"/>
  </r>
  <r>
    <n v="625"/>
    <s v="TEDHAVA"/>
    <x v="594"/>
    <s v="Sagratabai Brijalal Vasnik"/>
    <s v="Brijalal Vasnik"/>
    <x v="0"/>
    <s v="BPL"/>
    <x v="1"/>
    <s v="No"/>
    <s v="No"/>
    <n v="32"/>
    <x v="254"/>
    <x v="0"/>
    <x v="0"/>
    <x v="168"/>
  </r>
  <r>
    <n v="626"/>
    <s v="TEDHAVA"/>
    <x v="595"/>
    <s v="Sagratabai Devdas Kolhatkar"/>
    <s v="Devdas"/>
    <x v="1"/>
    <s v="BPL"/>
    <x v="3"/>
    <s v="Yes"/>
    <s v="Yes"/>
    <n v="41"/>
    <x v="255"/>
    <x v="3"/>
    <x v="0"/>
    <x v="134"/>
  </r>
  <r>
    <n v="627"/>
    <s v="TEDHAVA"/>
    <x v="185"/>
    <s v="Sajwantibai Pardesh Matre"/>
    <s v="Pardesh"/>
    <x v="1"/>
    <s v="APL"/>
    <x v="5"/>
    <s v="Yes"/>
    <s v="No"/>
    <n v="58"/>
    <x v="61"/>
    <x v="2"/>
    <x v="0"/>
    <x v="142"/>
  </r>
  <r>
    <n v="628"/>
    <s v="TEDHAVA"/>
    <x v="596"/>
    <s v="Sakaram Magru Bagde"/>
    <s v="Magru Bagde"/>
    <x v="0"/>
    <s v="APL"/>
    <x v="0"/>
    <s v="Yes"/>
    <s v="Yes"/>
    <n v="84"/>
    <x v="256"/>
    <x v="2"/>
    <x v="2"/>
    <x v="72"/>
  </r>
  <r>
    <n v="629"/>
    <s v="TEDHAVA"/>
    <x v="597"/>
    <s v="Salikram Gannu Turkar"/>
    <s v="Gannu Turkar"/>
    <x v="0"/>
    <s v="APL"/>
    <x v="2"/>
    <s v="Yes"/>
    <s v="Yes"/>
    <n v="28"/>
    <x v="6"/>
    <x v="1"/>
    <x v="3"/>
    <x v="6"/>
  </r>
  <r>
    <n v="630"/>
    <s v="TEDHAVA"/>
    <x v="189"/>
    <s v="Samau Munnalal Mane"/>
    <s v="Munnalal"/>
    <x v="0"/>
    <s v="BPL"/>
    <x v="3"/>
    <s v="Yes"/>
    <s v="Yes"/>
    <n v="76"/>
    <x v="257"/>
    <x v="0"/>
    <x v="4"/>
    <x v="169"/>
  </r>
  <r>
    <n v="631"/>
    <s v="TEDHAVA"/>
    <x v="598"/>
    <s v="Sampat Jivanlal Turkar"/>
    <s v="Jivanlal"/>
    <x v="0"/>
    <s v="APL"/>
    <x v="0"/>
    <s v="Yes"/>
    <s v="Yes"/>
    <n v="44"/>
    <x v="258"/>
    <x v="0"/>
    <x v="0"/>
    <x v="170"/>
  </r>
  <r>
    <n v="632"/>
    <s v="TEDHAVA"/>
    <x v="599"/>
    <s v="Sangita Sukhadev Kolhatkar"/>
    <s v="Sukhadev Kolhatkar"/>
    <x v="1"/>
    <s v="BPL"/>
    <x v="6"/>
    <s v="Yes"/>
    <s v="Yes"/>
    <n v="83"/>
    <x v="259"/>
    <x v="0"/>
    <x v="0"/>
    <x v="171"/>
  </r>
  <r>
    <n v="633"/>
    <s v="TEDHAVA"/>
    <x v="600"/>
    <s v="Santabai Bewa Hemraj Pande"/>
    <s v="Hemraj Pande"/>
    <x v="0"/>
    <s v="APL"/>
    <x v="5"/>
    <s v="Yes"/>
    <s v="Yes"/>
    <n v="67"/>
    <x v="260"/>
    <x v="0"/>
    <x v="7"/>
    <x v="172"/>
  </r>
  <r>
    <n v="634"/>
    <s v="TEDHAVA"/>
    <x v="601"/>
    <s v="Santabai Bewa Parasram Amabadare"/>
    <s v="Parasram Amabadare"/>
    <x v="1"/>
    <s v="BPL"/>
    <x v="1"/>
    <s v="Yes"/>
    <s v="Yes"/>
    <n v="45"/>
    <x v="261"/>
    <x v="0"/>
    <x v="7"/>
    <x v="3"/>
  </r>
  <r>
    <n v="635"/>
    <s v="TEDHAVA"/>
    <x v="602"/>
    <s v="Santabai Chitulal Bisen"/>
    <s v="Chitulal Bisen"/>
    <x v="1"/>
    <s v="APL"/>
    <x v="5"/>
    <s v="No"/>
    <s v="No"/>
    <n v="53"/>
    <x v="199"/>
    <x v="0"/>
    <x v="0"/>
    <x v="23"/>
  </r>
  <r>
    <n v="636"/>
    <s v="TEDHAVA"/>
    <x v="603"/>
    <s v="Santabai Wd Jiyalal Bisen"/>
    <s v="Jiyalal Bisen"/>
    <x v="1"/>
    <s v="APL"/>
    <x v="5"/>
    <s v="Yes"/>
    <s v="Yes"/>
    <n v="47"/>
    <x v="262"/>
    <x v="0"/>
    <x v="0"/>
    <x v="15"/>
  </r>
  <r>
    <n v="637"/>
    <s v="TEDHAVA"/>
    <x v="604"/>
    <s v="Santhurabai Tukaram Turkar"/>
    <s v="Tukaram Turkar"/>
    <x v="0"/>
    <s v="APL"/>
    <x v="5"/>
    <s v="Yes"/>
    <s v="Yes"/>
    <n v="72"/>
    <x v="263"/>
    <x v="0"/>
    <x v="1"/>
    <x v="18"/>
  </r>
  <r>
    <n v="638"/>
    <s v="TEDHAVA"/>
    <x v="605"/>
    <s v="Santosh Sonwane"/>
    <s v="Tilak"/>
    <x v="0"/>
    <s v="APL"/>
    <x v="2"/>
    <s v="Yes"/>
    <s v="Yes"/>
    <n v="29"/>
    <x v="6"/>
    <x v="1"/>
    <x v="3"/>
    <x v="6"/>
  </r>
  <r>
    <n v="639"/>
    <s v="TEDHAVA"/>
    <x v="606"/>
    <s v="Santosh Tilak Sonwane"/>
    <s v="Tilak Sonwane"/>
    <x v="0"/>
    <s v="BPL"/>
    <x v="1"/>
    <s v="Yes"/>
    <s v="Yes"/>
    <n v="75"/>
    <x v="60"/>
    <x v="0"/>
    <x v="4"/>
    <x v="149"/>
  </r>
  <r>
    <n v="640"/>
    <s v="TEDHAVA"/>
    <x v="607"/>
    <s v="Sarvibai Bewa Vinod Raut"/>
    <s v="Vinod Raut"/>
    <x v="1"/>
    <s v="BPL"/>
    <x v="6"/>
    <s v="Yes"/>
    <s v="Yes"/>
    <n v="81"/>
    <x v="178"/>
    <x v="0"/>
    <x v="5"/>
    <x v="173"/>
  </r>
  <r>
    <n v="641"/>
    <s v="TEDHAVA"/>
    <x v="608"/>
    <s v="Satyabhama Bewa Chhotelal Harinkhede"/>
    <s v="Chhotelal Harinkhede"/>
    <x v="1"/>
    <s v="APL"/>
    <x v="5"/>
    <s v="No"/>
    <s v="No"/>
    <n v="42"/>
    <x v="227"/>
    <x v="0"/>
    <x v="0"/>
    <x v="93"/>
  </r>
  <r>
    <n v="642"/>
    <s v="TEDHAVA"/>
    <x v="609"/>
    <s v="Sevakram Motiram Bisen"/>
    <s v="Motiram Bisen"/>
    <x v="0"/>
    <s v="APL"/>
    <x v="0"/>
    <s v="Yes"/>
    <s v="Yes"/>
    <n v="42"/>
    <x v="264"/>
    <x v="3"/>
    <x v="2"/>
    <x v="77"/>
  </r>
  <r>
    <n v="643"/>
    <s v="TEDHAVA"/>
    <x v="610"/>
    <s v="Shakuntala Babulal Patle"/>
    <s v="Babulal Patle"/>
    <x v="1"/>
    <s v="BPL"/>
    <x v="6"/>
    <s v="No"/>
    <s v="No"/>
    <n v="35"/>
    <x v="265"/>
    <x v="2"/>
    <x v="0"/>
    <x v="174"/>
  </r>
  <r>
    <n v="644"/>
    <s v="TEDHAVA"/>
    <x v="611"/>
    <s v="Shalikaram Dulichand Patle"/>
    <s v="Dulichand Patle"/>
    <x v="0"/>
    <s v="APL"/>
    <x v="0"/>
    <s v="Yes"/>
    <s v="Yes"/>
    <n v="54"/>
    <x v="266"/>
    <x v="0"/>
    <x v="1"/>
    <x v="129"/>
  </r>
  <r>
    <n v="645"/>
    <s v="TEDHAVA"/>
    <x v="612"/>
    <s v="Shalikram Baggu Bhoyar"/>
    <s v="Baggu"/>
    <x v="0"/>
    <s v="BPL"/>
    <x v="3"/>
    <s v="Yes"/>
    <s v="Yes"/>
    <n v="82"/>
    <x v="120"/>
    <x v="0"/>
    <x v="2"/>
    <x v="13"/>
  </r>
  <r>
    <n v="646"/>
    <s v="TEDHAVA"/>
    <x v="613"/>
    <s v="Shamlal Hari Pihare"/>
    <s v="Hari Pihare"/>
    <x v="0"/>
    <s v="BPL"/>
    <x v="6"/>
    <s v="No"/>
    <s v="No"/>
    <n v="64"/>
    <x v="195"/>
    <x v="0"/>
    <x v="6"/>
    <x v="41"/>
  </r>
  <r>
    <n v="647"/>
    <s v="TEDHAVA"/>
    <x v="614"/>
    <s v="Shilabai Nanaji Meshram"/>
    <s v="Nanaji Meshram"/>
    <x v="1"/>
    <s v="APL"/>
    <x v="5"/>
    <s v="No"/>
    <s v="No"/>
    <n v="46"/>
    <x v="267"/>
    <x v="2"/>
    <x v="0"/>
    <x v="18"/>
  </r>
  <r>
    <n v="648"/>
    <s v="TEDHAVA"/>
    <x v="615"/>
    <s v="Shivadyal Hiralal Kosamkotre"/>
    <s v="Hiralal Kosamkotre"/>
    <x v="0"/>
    <s v="BPL"/>
    <x v="3"/>
    <s v="No"/>
    <s v="No"/>
    <n v="37"/>
    <x v="268"/>
    <x v="0"/>
    <x v="1"/>
    <x v="42"/>
  </r>
  <r>
    <n v="649"/>
    <s v="TEDHAVA"/>
    <x v="616"/>
    <s v="Shivalal Tantu Patle"/>
    <s v="Tantu Patle"/>
    <x v="0"/>
    <s v="APL"/>
    <x v="2"/>
    <s v="Yes"/>
    <s v="Yes"/>
    <n v="72"/>
    <x v="6"/>
    <x v="1"/>
    <x v="3"/>
    <x v="6"/>
  </r>
  <r>
    <n v="650"/>
    <s v="TEDHAVA"/>
    <x v="617"/>
    <s v="Shivdyal Kasamgode"/>
    <s v="Hiralal"/>
    <x v="0"/>
    <s v="APL"/>
    <x v="2"/>
    <s v="Yes"/>
    <s v="Yes"/>
    <n v="33"/>
    <x v="6"/>
    <x v="1"/>
    <x v="3"/>
    <x v="6"/>
  </r>
  <r>
    <n v="651"/>
    <s v="TEDHAVA"/>
    <x v="618"/>
    <s v="Shivlal Jaglal Matre"/>
    <s v="Jaglal"/>
    <x v="0"/>
    <s v="BPL"/>
    <x v="3"/>
    <s v="Yes"/>
    <s v="Yes"/>
    <n v="77"/>
    <x v="129"/>
    <x v="3"/>
    <x v="1"/>
    <x v="175"/>
  </r>
  <r>
    <n v="652"/>
    <s v="TEDHAVA"/>
    <x v="619"/>
    <s v="Shivprasad Teklal Turkar"/>
    <s v="Teklal"/>
    <x v="0"/>
    <s v="APL"/>
    <x v="0"/>
    <s v="Yes"/>
    <s v="Yes"/>
    <n v="38"/>
    <x v="269"/>
    <x v="0"/>
    <x v="0"/>
    <x v="176"/>
  </r>
  <r>
    <n v="653"/>
    <s v="TEDHAVA"/>
    <x v="620"/>
    <s v="Shivram Rajaram Turkar"/>
    <s v="Rajaram Turkar"/>
    <x v="0"/>
    <s v="APL"/>
    <x v="2"/>
    <s v="No"/>
    <s v="No"/>
    <n v="69"/>
    <x v="6"/>
    <x v="1"/>
    <x v="3"/>
    <x v="6"/>
  </r>
  <r>
    <n v="654"/>
    <s v="TEDHAVA"/>
    <x v="621"/>
    <s v="Shobelal Pandu Patle"/>
    <s v="Pandu Patle"/>
    <x v="0"/>
    <s v="APL"/>
    <x v="2"/>
    <s v="Yes"/>
    <s v="Yes"/>
    <n v="43"/>
    <x v="6"/>
    <x v="1"/>
    <x v="3"/>
    <x v="6"/>
  </r>
  <r>
    <n v="655"/>
    <s v="TEDHAVA"/>
    <x v="622"/>
    <s v="Shobelal Rajaram Bisen"/>
    <s v="Rajaram Bisen"/>
    <x v="0"/>
    <s v="APL"/>
    <x v="0"/>
    <s v="Yes"/>
    <s v="Yes"/>
    <n v="47"/>
    <x v="218"/>
    <x v="3"/>
    <x v="0"/>
    <x v="69"/>
  </r>
  <r>
    <n v="656"/>
    <s v="TEDHAVA"/>
    <x v="623"/>
    <s v="Shobhachand Gosai Matre"/>
    <s v="Gosai Matre"/>
    <x v="0"/>
    <s v="APL"/>
    <x v="0"/>
    <s v="No"/>
    <s v="No"/>
    <n v="44"/>
    <x v="270"/>
    <x v="0"/>
    <x v="2"/>
    <x v="177"/>
  </r>
  <r>
    <n v="657"/>
    <s v="TEDHAVA"/>
    <x v="624"/>
    <s v="Shobharam Gosai Matre"/>
    <s v="Gosai Matre"/>
    <x v="0"/>
    <s v="APL"/>
    <x v="2"/>
    <s v="Yes"/>
    <s v="Yes"/>
    <n v="58"/>
    <x v="6"/>
    <x v="1"/>
    <x v="3"/>
    <x v="6"/>
  </r>
  <r>
    <n v="658"/>
    <s v="TEDHAVA"/>
    <x v="205"/>
    <s v="Shobharam Munilal Rahangadale"/>
    <s v="Munilal"/>
    <x v="0"/>
    <s v="APL"/>
    <x v="2"/>
    <s v="Yes"/>
    <s v="Yes"/>
    <n v="64"/>
    <x v="6"/>
    <x v="1"/>
    <x v="3"/>
    <x v="6"/>
  </r>
  <r>
    <n v="659"/>
    <s v="TEDHAVA"/>
    <x v="625"/>
    <s v="Shobhelal Dewaru Sawankar"/>
    <s v="Dewaru Sawankar"/>
    <x v="0"/>
    <s v="BPL"/>
    <x v="6"/>
    <s v="No"/>
    <s v="No"/>
    <n v="57"/>
    <x v="271"/>
    <x v="0"/>
    <x v="6"/>
    <x v="15"/>
  </r>
  <r>
    <n v="660"/>
    <s v="TEDHAVA"/>
    <x v="626"/>
    <s v="Shravan Maniram Dhuware"/>
    <s v="Maniram Dhuware"/>
    <x v="0"/>
    <s v="APL"/>
    <x v="2"/>
    <s v="No"/>
    <s v="No"/>
    <n v="39"/>
    <x v="6"/>
    <x v="1"/>
    <x v="3"/>
    <x v="6"/>
  </r>
  <r>
    <n v="661"/>
    <s v="TEDHAVA"/>
    <x v="627"/>
    <s v="Shravan Sadu Sonwane"/>
    <s v="Sadu Sonwane"/>
    <x v="0"/>
    <s v="APL"/>
    <x v="1"/>
    <s v="Yes"/>
    <s v="Yes"/>
    <n v="72"/>
    <x v="272"/>
    <x v="0"/>
    <x v="1"/>
    <x v="178"/>
  </r>
  <r>
    <n v="662"/>
    <s v="TEDHAVA"/>
    <x v="628"/>
    <s v="Shrawan Bansi Turkar"/>
    <s v="Bansi Turkar"/>
    <x v="0"/>
    <s v="APL"/>
    <x v="0"/>
    <s v="No"/>
    <s v="No"/>
    <n v="63"/>
    <x v="273"/>
    <x v="0"/>
    <x v="5"/>
    <x v="41"/>
  </r>
  <r>
    <n v="663"/>
    <s v="TEDHAVA"/>
    <x v="629"/>
    <s v="Shriram Hajari Singandhupe"/>
    <s v="Hajari Singandhupe"/>
    <x v="0"/>
    <s v="APL"/>
    <x v="2"/>
    <s v="No"/>
    <s v="No"/>
    <n v="50"/>
    <x v="6"/>
    <x v="1"/>
    <x v="3"/>
    <x v="6"/>
  </r>
  <r>
    <n v="664"/>
    <s v="TEDHAVA"/>
    <x v="630"/>
    <s v="Shriram Kothusao Dhuware"/>
    <s v="Kothusao Dhuware"/>
    <x v="0"/>
    <s v="BPL"/>
    <x v="3"/>
    <s v="Yes"/>
    <s v="Yes"/>
    <n v="29"/>
    <x v="274"/>
    <x v="0"/>
    <x v="2"/>
    <x v="179"/>
  </r>
  <r>
    <n v="665"/>
    <s v="TEDHAVA"/>
    <x v="631"/>
    <s v="Shriram Uka Harinkhede"/>
    <s v="Uka Harinkhede"/>
    <x v="0"/>
    <s v="BPL"/>
    <x v="3"/>
    <s v="Yes"/>
    <s v="Yes"/>
    <n v="68"/>
    <x v="42"/>
    <x v="0"/>
    <x v="8"/>
    <x v="113"/>
  </r>
  <r>
    <n v="666"/>
    <s v="TEDHAVA"/>
    <x v="632"/>
    <s v="Sitabai Dulichand Khadekar"/>
    <s v="Dulichand Khadekar"/>
    <x v="1"/>
    <s v="APL"/>
    <x v="5"/>
    <s v="Yes"/>
    <s v="Yes"/>
    <n v="45"/>
    <x v="109"/>
    <x v="0"/>
    <x v="2"/>
    <x v="174"/>
  </r>
  <r>
    <n v="667"/>
    <s v="TEDHAVA"/>
    <x v="633"/>
    <s v="Sitaram Jaggu Dandre"/>
    <s v="Jaggu"/>
    <x v="0"/>
    <s v="APL"/>
    <x v="2"/>
    <s v="Yes"/>
    <s v="Yes"/>
    <n v="34"/>
    <x v="6"/>
    <x v="1"/>
    <x v="3"/>
    <x v="6"/>
  </r>
  <r>
    <n v="668"/>
    <s v="TEDHAVA"/>
    <x v="634"/>
    <s v="Somaji Bhadu Vasnik"/>
    <s v="Bhadu Vasnik"/>
    <x v="0"/>
    <s v="APL"/>
    <x v="6"/>
    <s v="Yes"/>
    <s v="Yes"/>
    <n v="85"/>
    <x v="273"/>
    <x v="0"/>
    <x v="0"/>
    <x v="131"/>
  </r>
  <r>
    <n v="669"/>
    <s v="TEDHAVA"/>
    <x v="635"/>
    <s v="Sonelal Runda Meshram"/>
    <s v="Runda Meshram"/>
    <x v="0"/>
    <s v="BPL"/>
    <x v="1"/>
    <s v="No"/>
    <s v="No"/>
    <n v="50"/>
    <x v="19"/>
    <x v="0"/>
    <x v="2"/>
    <x v="15"/>
  </r>
  <r>
    <n v="670"/>
    <s v="TEDHAVA"/>
    <x v="636"/>
    <s v="Sovind Tejalal Turkar"/>
    <s v="Tejalal Turkar"/>
    <x v="0"/>
    <s v="APL"/>
    <x v="2"/>
    <s v="Yes"/>
    <s v="Yes"/>
    <n v="54"/>
    <x v="6"/>
    <x v="1"/>
    <x v="3"/>
    <x v="6"/>
  </r>
  <r>
    <n v="671"/>
    <s v="TEDHAVA"/>
    <x v="637"/>
    <s v="Subhas Surjalal Dhuware"/>
    <s v="Surjalal Dhuware"/>
    <x v="0"/>
    <s v="BPL"/>
    <x v="3"/>
    <s v="Yes"/>
    <s v="Yes"/>
    <n v="62"/>
    <x v="43"/>
    <x v="0"/>
    <x v="1"/>
    <x v="167"/>
  </r>
  <r>
    <n v="672"/>
    <s v="TEDHAVA"/>
    <x v="638"/>
    <s v="Sudam Brijalal Turkar"/>
    <s v="Brijalal Turkar"/>
    <x v="0"/>
    <s v="APL"/>
    <x v="0"/>
    <s v="Yes"/>
    <s v="Yes"/>
    <n v="67"/>
    <x v="224"/>
    <x v="0"/>
    <x v="6"/>
    <x v="27"/>
  </r>
  <r>
    <n v="673"/>
    <s v="TEDHAVA"/>
    <x v="639"/>
    <s v="Sudam Chitulal Turkar"/>
    <s v="Chitulal Turkar"/>
    <x v="0"/>
    <s v="APL"/>
    <x v="0"/>
    <s v="Yes"/>
    <s v="Yes"/>
    <n v="47"/>
    <x v="275"/>
    <x v="0"/>
    <x v="0"/>
    <x v="180"/>
  </r>
  <r>
    <n v="674"/>
    <s v="TEDHAVA"/>
    <x v="640"/>
    <s v="Sugarata Bewa Balchand Ambadare"/>
    <s v="Balchand Ambadare"/>
    <x v="1"/>
    <s v="APL"/>
    <x v="5"/>
    <s v="Yes"/>
    <s v="Yes"/>
    <n v="27"/>
    <x v="147"/>
    <x v="0"/>
    <x v="1"/>
    <x v="18"/>
  </r>
  <r>
    <n v="675"/>
    <s v="TEDHAVA"/>
    <x v="641"/>
    <s v="Sukachand Rupachand Sonwane"/>
    <s v="Rupachand Sonwane"/>
    <x v="0"/>
    <s v="BPL"/>
    <x v="1"/>
    <s v="Yes"/>
    <s v="Yes"/>
    <n v="40"/>
    <x v="100"/>
    <x v="0"/>
    <x v="2"/>
    <x v="8"/>
  </r>
  <r>
    <n v="676"/>
    <s v="TEDHAVA"/>
    <x v="642"/>
    <s v="Sukaji Narayan Matre"/>
    <s v="Narayan Matre"/>
    <x v="0"/>
    <s v="APL"/>
    <x v="2"/>
    <s v="Yes"/>
    <s v="Yes"/>
    <n v="73"/>
    <x v="6"/>
    <x v="1"/>
    <x v="3"/>
    <x v="6"/>
  </r>
  <r>
    <n v="677"/>
    <s v="TEDHAVA"/>
    <x v="643"/>
    <s v="Sukchnad Turkar"/>
    <s v="Brijlal"/>
    <x v="0"/>
    <s v="APL"/>
    <x v="0"/>
    <s v="Yes"/>
    <s v="Yes"/>
    <n v="63"/>
    <x v="1"/>
    <x v="3"/>
    <x v="0"/>
    <x v="42"/>
  </r>
  <r>
    <n v="678"/>
    <s v="TEDHAVA"/>
    <x v="644"/>
    <s v="Suktubai Matre"/>
    <s v="Hiralal"/>
    <x v="0"/>
    <s v="APL"/>
    <x v="5"/>
    <s v="Yes"/>
    <s v="Yes"/>
    <n v="66"/>
    <x v="11"/>
    <x v="0"/>
    <x v="1"/>
    <x v="131"/>
  </r>
  <r>
    <n v="679"/>
    <s v="TEDHAVA"/>
    <x v="209"/>
    <s v="Sukwanta Rambaks Rahangdale"/>
    <s v="Rambakas"/>
    <x v="1"/>
    <s v="APL"/>
    <x v="5"/>
    <s v="Yes"/>
    <s v="Yes"/>
    <n v="43"/>
    <x v="7"/>
    <x v="0"/>
    <x v="0"/>
    <x v="81"/>
  </r>
  <r>
    <n v="680"/>
    <s v="TEDHAVA"/>
    <x v="645"/>
    <s v="Sumanbai Turkar"/>
    <s v="Radhelal"/>
    <x v="0"/>
    <s v="APL"/>
    <x v="5"/>
    <s v="Yes"/>
    <s v="Yes"/>
    <n v="67"/>
    <x v="123"/>
    <x v="0"/>
    <x v="6"/>
    <x v="56"/>
  </r>
  <r>
    <n v="681"/>
    <s v="TEDHAVA"/>
    <x v="646"/>
    <s v="Sumeshwar Mangru Hatele"/>
    <s v="Mangru"/>
    <x v="0"/>
    <s v="APL"/>
    <x v="2"/>
    <s v="Yes"/>
    <s v="Yes"/>
    <n v="53"/>
    <x v="6"/>
    <x v="1"/>
    <x v="3"/>
    <x v="6"/>
  </r>
  <r>
    <n v="682"/>
    <s v="TEDHAVA"/>
    <x v="647"/>
    <s v="Sumratsao Chandu Telase"/>
    <s v="Chandu Telase"/>
    <x v="0"/>
    <s v="APL"/>
    <x v="0"/>
    <s v="Yes"/>
    <s v="Yes"/>
    <n v="60"/>
    <x v="276"/>
    <x v="0"/>
    <x v="2"/>
    <x v="181"/>
  </r>
  <r>
    <n v="683"/>
    <s v="TEDHAVA"/>
    <x v="648"/>
    <s v="Sundarsham Ramalal Dakhanwar"/>
    <s v="Ramalal Dakhanwar"/>
    <x v="0"/>
    <s v="APL"/>
    <x v="2"/>
    <s v="Yes"/>
    <s v="Yes"/>
    <n v="58"/>
    <x v="6"/>
    <x v="1"/>
    <x v="3"/>
    <x v="6"/>
  </r>
  <r>
    <n v="684"/>
    <s v="TEDHAVA"/>
    <x v="649"/>
    <s v="Sunil Netram Meshram"/>
    <s v="Netram"/>
    <x v="0"/>
    <s v="BPL"/>
    <x v="3"/>
    <s v="Yes"/>
    <s v="Yes"/>
    <n v="59"/>
    <x v="277"/>
    <x v="2"/>
    <x v="2"/>
    <x v="46"/>
  </r>
  <r>
    <n v="685"/>
    <s v="TEDHAVA"/>
    <x v="650"/>
    <s v="Sunil Ramesh Bisen"/>
    <s v="Ramesh"/>
    <x v="0"/>
    <s v="APL"/>
    <x v="0"/>
    <s v="Yes"/>
    <s v="Yes"/>
    <n v="31"/>
    <x v="278"/>
    <x v="0"/>
    <x v="1"/>
    <x v="75"/>
  </r>
  <r>
    <n v="686"/>
    <s v="TEDHAVA"/>
    <x v="213"/>
    <s v="Sunita Bhivaram Bisen"/>
    <s v="Bhivaram Bisen"/>
    <x v="1"/>
    <s v="APL"/>
    <x v="5"/>
    <s v="Yes"/>
    <s v="Yes"/>
    <n v="65"/>
    <x v="279"/>
    <x v="0"/>
    <x v="0"/>
    <x v="123"/>
  </r>
  <r>
    <n v="687"/>
    <s v="TEDHAVA"/>
    <x v="651"/>
    <s v="Surajlal Budhusao Borkar"/>
    <s v="Budhusao Borkar"/>
    <x v="0"/>
    <s v="APL"/>
    <x v="2"/>
    <s v="Yes"/>
    <s v="Yes"/>
    <n v="37"/>
    <x v="6"/>
    <x v="1"/>
    <x v="3"/>
    <x v="6"/>
  </r>
  <r>
    <n v="688"/>
    <s v="TEDHAVA"/>
    <x v="652"/>
    <s v="Surajlal Bhagatlal Mane"/>
    <s v="Bhagatlal"/>
    <x v="0"/>
    <s v="APL"/>
    <x v="2"/>
    <s v="Yes"/>
    <s v="Yes"/>
    <n v="47"/>
    <x v="6"/>
    <x v="1"/>
    <x v="3"/>
    <x v="6"/>
  </r>
  <r>
    <n v="689"/>
    <s v="TEDHAVA"/>
    <x v="653"/>
    <s v="Surajlal Dehalu Turkar"/>
    <s v="Dehalu Turkar"/>
    <x v="0"/>
    <s v="APL"/>
    <x v="2"/>
    <s v="Yes"/>
    <s v="Yes"/>
    <n v="53"/>
    <x v="6"/>
    <x v="1"/>
    <x v="3"/>
    <x v="6"/>
  </r>
  <r>
    <n v="690"/>
    <s v="TEDHAVA"/>
    <x v="215"/>
    <s v="Surajlal Jaglal Matre"/>
    <s v="Jaglal"/>
    <x v="0"/>
    <s v="BPL"/>
    <x v="3"/>
    <s v="Yes"/>
    <s v="No"/>
    <n v="41"/>
    <x v="24"/>
    <x v="0"/>
    <x v="0"/>
    <x v="29"/>
  </r>
  <r>
    <n v="691"/>
    <s v="TEDHAVA"/>
    <x v="654"/>
    <s v="Surajlal Puranlal Patale"/>
    <s v="Puranlal"/>
    <x v="0"/>
    <s v="APL"/>
    <x v="0"/>
    <s v="Yes"/>
    <s v="Yes"/>
    <n v="61"/>
    <x v="143"/>
    <x v="0"/>
    <x v="4"/>
    <x v="104"/>
  </r>
  <r>
    <n v="692"/>
    <s v="TEDHAVA"/>
    <x v="655"/>
    <s v="Surendra Hemraj Turkar"/>
    <s v="Hemraj"/>
    <x v="0"/>
    <s v="APL"/>
    <x v="2"/>
    <s v="Yes"/>
    <s v="Yes"/>
    <n v="71"/>
    <x v="6"/>
    <x v="1"/>
    <x v="3"/>
    <x v="6"/>
  </r>
  <r>
    <n v="693"/>
    <s v="TEDHAVA"/>
    <x v="656"/>
    <s v="Suresh Thakare"/>
    <s v="Fatulal"/>
    <x v="0"/>
    <s v="APL"/>
    <x v="0"/>
    <s v="Yes"/>
    <s v="Yes"/>
    <n v="61"/>
    <x v="57"/>
    <x v="0"/>
    <x v="5"/>
    <x v="136"/>
  </r>
  <r>
    <n v="694"/>
    <s v="TEDHAVA"/>
    <x v="657"/>
    <s v="Suresh Umrao Patle"/>
    <s v="Umrao"/>
    <x v="0"/>
    <s v="APL"/>
    <x v="0"/>
    <s v="Yes"/>
    <s v="Yes"/>
    <n v="58"/>
    <x v="17"/>
    <x v="0"/>
    <x v="6"/>
    <x v="107"/>
  </r>
  <r>
    <n v="695"/>
    <s v="TEDHAVA"/>
    <x v="219"/>
    <s v="Swami Jagalal Matare"/>
    <s v="Jagalal"/>
    <x v="0"/>
    <s v="BPL"/>
    <x v="3"/>
    <s v="Yes"/>
    <s v="Yes"/>
    <n v="51"/>
    <x v="110"/>
    <x v="2"/>
    <x v="0"/>
    <x v="108"/>
  </r>
  <r>
    <n v="696"/>
    <s v="TEDHAVA"/>
    <x v="658"/>
    <s v="Talikram Turkar"/>
    <s v="Arjun"/>
    <x v="0"/>
    <s v="APL"/>
    <x v="2"/>
    <s v="Yes"/>
    <s v="Yes"/>
    <n v="55"/>
    <x v="6"/>
    <x v="1"/>
    <x v="3"/>
    <x v="6"/>
  </r>
  <r>
    <n v="697"/>
    <s v="TEDHAVA"/>
    <x v="659"/>
    <s v="Tarachand Turkar"/>
    <s v="Yado"/>
    <x v="0"/>
    <s v="APL"/>
    <x v="0"/>
    <s v="Yes"/>
    <s v="Yes"/>
    <n v="47"/>
    <x v="280"/>
    <x v="0"/>
    <x v="7"/>
    <x v="145"/>
  </r>
  <r>
    <n v="698"/>
    <s v="TEDHAVA"/>
    <x v="660"/>
    <s v="Tarachand Sitaram Hatele"/>
    <s v="Sitaram Hatele"/>
    <x v="0"/>
    <s v="BPL"/>
    <x v="3"/>
    <s v="Yes"/>
    <s v="Yes"/>
    <n v="49"/>
    <x v="281"/>
    <x v="0"/>
    <x v="0"/>
    <x v="31"/>
  </r>
  <r>
    <n v="699"/>
    <s v="TEDHAVA"/>
    <x v="661"/>
    <s v="Tarachand Yadu Turkar"/>
    <s v="Yadu Turkar"/>
    <x v="0"/>
    <s v="BPL"/>
    <x v="3"/>
    <s v="No"/>
    <s v="No"/>
    <n v="79"/>
    <x v="250"/>
    <x v="0"/>
    <x v="0"/>
    <x v="93"/>
  </r>
  <r>
    <n v="700"/>
    <s v="TEDHAVA"/>
    <x v="662"/>
    <s v="Tarasan Wo Ramdas Ganvir"/>
    <s v="Ramdas Ganvir"/>
    <x v="1"/>
    <s v="BPL"/>
    <x v="6"/>
    <s v="No"/>
    <s v="No"/>
    <n v="80"/>
    <x v="224"/>
    <x v="2"/>
    <x v="0"/>
    <x v="182"/>
  </r>
  <r>
    <n v="701"/>
    <s v="TEDHAVA"/>
    <x v="663"/>
    <s v="Tejlal Shende"/>
    <s v="Mehtar"/>
    <x v="0"/>
    <s v="APL"/>
    <x v="0"/>
    <s v="Yes"/>
    <s v="Yes"/>
    <n v="47"/>
    <x v="170"/>
    <x v="0"/>
    <x v="1"/>
    <x v="99"/>
  </r>
  <r>
    <n v="702"/>
    <s v="TEDHAVA"/>
    <x v="664"/>
    <s v="Tejlal Karu Mane"/>
    <s v="Karu"/>
    <x v="0"/>
    <s v="APL"/>
    <x v="0"/>
    <s v="Yes"/>
    <s v="Yes"/>
    <n v="84"/>
    <x v="58"/>
    <x v="0"/>
    <x v="1"/>
    <x v="39"/>
  </r>
  <r>
    <n v="703"/>
    <s v="TEDHAVA"/>
    <x v="665"/>
    <s v="Tejlal Mehater Shende"/>
    <s v="Mehater Shende"/>
    <x v="0"/>
    <s v="APL"/>
    <x v="2"/>
    <s v="No"/>
    <s v="No"/>
    <n v="38"/>
    <x v="6"/>
    <x v="1"/>
    <x v="3"/>
    <x v="6"/>
  </r>
  <r>
    <n v="704"/>
    <s v="TEDHAVA"/>
    <x v="666"/>
    <s v="Tejram Kothusao Dhuware"/>
    <s v="Kothusao Dhuware"/>
    <x v="0"/>
    <s v="APL"/>
    <x v="0"/>
    <s v="Yes"/>
    <s v="Yes"/>
    <n v="30"/>
    <x v="282"/>
    <x v="2"/>
    <x v="5"/>
    <x v="183"/>
  </r>
  <r>
    <n v="705"/>
    <s v="TEDHAVA"/>
    <x v="667"/>
    <s v="Tejsinh Bhagawatsinh Solanki"/>
    <s v="Bhagawatsinh Solanki"/>
    <x v="0"/>
    <s v="APL"/>
    <x v="0"/>
    <s v="Yes"/>
    <s v="Yes"/>
    <n v="84"/>
    <x v="283"/>
    <x v="0"/>
    <x v="0"/>
    <x v="97"/>
  </r>
  <r>
    <n v="706"/>
    <s v="TEDHAVA"/>
    <x v="668"/>
    <s v="Tekachand Bhadu Sonwane"/>
    <s v="Bhadu Sonwane"/>
    <x v="0"/>
    <s v="APL"/>
    <x v="2"/>
    <s v="Yes"/>
    <s v="Yes"/>
    <n v="51"/>
    <x v="6"/>
    <x v="1"/>
    <x v="3"/>
    <x v="6"/>
  </r>
  <r>
    <n v="707"/>
    <s v="TEDHAVA"/>
    <x v="669"/>
    <s v="Tekalal Bholaram Rane"/>
    <s v="Bholaram Rane"/>
    <x v="0"/>
    <s v="BPL"/>
    <x v="3"/>
    <s v="Yes"/>
    <s v="Yes"/>
    <n v="83"/>
    <x v="153"/>
    <x v="0"/>
    <x v="5"/>
    <x v="1"/>
  </r>
  <r>
    <n v="708"/>
    <s v="TEDHAVA"/>
    <x v="670"/>
    <s v="Tekaram Ramasao Kawade"/>
    <s v="Ramasao Kawade"/>
    <x v="0"/>
    <s v="APL"/>
    <x v="0"/>
    <s v="Yes"/>
    <s v="Yes"/>
    <n v="44"/>
    <x v="284"/>
    <x v="0"/>
    <x v="0"/>
    <x v="184"/>
  </r>
  <r>
    <n v="709"/>
    <s v="TEDHAVA"/>
    <x v="671"/>
    <s v="Teklal Bholaram Rane"/>
    <s v="Bholaram"/>
    <x v="0"/>
    <s v="BPL"/>
    <x v="3"/>
    <s v="Yes"/>
    <s v="Yes"/>
    <n v="55"/>
    <x v="116"/>
    <x v="0"/>
    <x v="0"/>
    <x v="79"/>
  </r>
  <r>
    <n v="710"/>
    <s v="TEDHAVA"/>
    <x v="672"/>
    <s v="Thanganbai Wo Pavan Kolhatkar"/>
    <s v="Pavan Kolhatkar"/>
    <x v="0"/>
    <s v="BPL"/>
    <x v="6"/>
    <s v="No"/>
    <s v="No"/>
    <n v="55"/>
    <x v="273"/>
    <x v="0"/>
    <x v="1"/>
    <x v="51"/>
  </r>
  <r>
    <n v="711"/>
    <s v="TEDHAVA"/>
    <x v="673"/>
    <s v="Thanthan Kashiram Turkar"/>
    <s v="Kashiram"/>
    <x v="0"/>
    <s v="APL"/>
    <x v="0"/>
    <s v="Yes"/>
    <s v="Yes"/>
    <n v="49"/>
    <x v="58"/>
    <x v="0"/>
    <x v="5"/>
    <x v="135"/>
  </r>
  <r>
    <n v="712"/>
    <s v="TEDHAVA"/>
    <x v="674"/>
    <s v="Tilakchand Sakaram Turkar"/>
    <s v="Sakaram Turkar"/>
    <x v="0"/>
    <s v="APL"/>
    <x v="0"/>
    <s v="Yes"/>
    <s v="Yes"/>
    <n v="53"/>
    <x v="44"/>
    <x v="0"/>
    <x v="2"/>
    <x v="2"/>
  </r>
  <r>
    <n v="713"/>
    <s v="TEDHAVA"/>
    <x v="675"/>
    <s v="Topesh Rahangdale"/>
    <s v="Devendra"/>
    <x v="0"/>
    <s v="APL"/>
    <x v="0"/>
    <s v="Yes"/>
    <s v="Yes"/>
    <n v="57"/>
    <x v="285"/>
    <x v="0"/>
    <x v="0"/>
    <x v="145"/>
  </r>
  <r>
    <n v="714"/>
    <s v="TEDHAVA"/>
    <x v="676"/>
    <s v="Tulsidas Lahanu Kolhatkat"/>
    <s v="Lahanu Kolhatkat"/>
    <x v="0"/>
    <s v="BPL"/>
    <x v="6"/>
    <s v="Yes"/>
    <s v="Yes"/>
    <n v="58"/>
    <x v="286"/>
    <x v="2"/>
    <x v="0"/>
    <x v="185"/>
  </r>
  <r>
    <n v="715"/>
    <s v="TEDHAVA"/>
    <x v="677"/>
    <s v="Tulsidas Pendhari Sonewane"/>
    <s v="Pendhari"/>
    <x v="0"/>
    <s v="BPL"/>
    <x v="3"/>
    <s v="Yes"/>
    <s v="Yes"/>
    <n v="62"/>
    <x v="287"/>
    <x v="0"/>
    <x v="4"/>
    <x v="114"/>
  </r>
  <r>
    <n v="716"/>
    <s v="TEDHAVA"/>
    <x v="678"/>
    <s v="Udelal Balaram Katre"/>
    <s v="Balaram Katre"/>
    <x v="0"/>
    <s v="APL"/>
    <x v="0"/>
    <s v="Yes"/>
    <s v="Yes"/>
    <n v="61"/>
    <x v="288"/>
    <x v="0"/>
    <x v="6"/>
    <x v="48"/>
  </r>
  <r>
    <n v="717"/>
    <s v="TEDHAVA"/>
    <x v="679"/>
    <s v="Udelal Yesalal Pache"/>
    <s v="Yesalal Pache"/>
    <x v="0"/>
    <s v="APL"/>
    <x v="0"/>
    <s v="Yes"/>
    <s v="Yes"/>
    <n v="49"/>
    <x v="289"/>
    <x v="0"/>
    <x v="1"/>
    <x v="29"/>
  </r>
  <r>
    <n v="718"/>
    <s v="TEDHAVA"/>
    <x v="680"/>
    <s v="Umaprasad Yadoprasad Pande"/>
    <s v="Yadoprasad Pande"/>
    <x v="0"/>
    <s v="APL"/>
    <x v="0"/>
    <s v="Yes"/>
    <s v="Yes"/>
    <n v="79"/>
    <x v="290"/>
    <x v="0"/>
    <x v="0"/>
    <x v="149"/>
  </r>
  <r>
    <n v="719"/>
    <s v="TEDHAVA"/>
    <x v="681"/>
    <s v="Umed Bisan Raut"/>
    <s v="Bisan Raut"/>
    <x v="0"/>
    <s v="BPL"/>
    <x v="1"/>
    <s v="No"/>
    <s v="No"/>
    <n v="53"/>
    <x v="291"/>
    <x v="0"/>
    <x v="1"/>
    <x v="186"/>
  </r>
  <r>
    <n v="720"/>
    <s v="TEDHAVA"/>
    <x v="682"/>
    <s v="Umedlal Turkar"/>
    <s v="Fagulal"/>
    <x v="0"/>
    <s v="APL"/>
    <x v="0"/>
    <s v="Yes"/>
    <s v="Yes"/>
    <n v="30"/>
    <x v="137"/>
    <x v="0"/>
    <x v="4"/>
    <x v="89"/>
  </r>
  <r>
    <n v="721"/>
    <s v="TEDHAVA"/>
    <x v="683"/>
    <s v="Umrao Shinghandhupe"/>
    <s v="Baiyar"/>
    <x v="0"/>
    <s v="APL"/>
    <x v="2"/>
    <s v="Yes"/>
    <s v="Yes"/>
    <n v="47"/>
    <x v="6"/>
    <x v="1"/>
    <x v="3"/>
    <x v="6"/>
  </r>
  <r>
    <n v="722"/>
    <s v="TEDHAVA"/>
    <x v="684"/>
    <s v="Umrao Tandu Patle"/>
    <s v="Tandu Patle"/>
    <x v="0"/>
    <s v="APL"/>
    <x v="2"/>
    <s v="Yes"/>
    <s v="Yes"/>
    <n v="77"/>
    <x v="6"/>
    <x v="1"/>
    <x v="3"/>
    <x v="6"/>
  </r>
  <r>
    <n v="723"/>
    <s v="TEDHAVA"/>
    <x v="685"/>
    <s v="Uramilabai Bansantrai Bisen"/>
    <s v="Bansantrai Bisen"/>
    <x v="0"/>
    <s v="APL"/>
    <x v="5"/>
    <s v="Yes"/>
    <s v="Yes"/>
    <n v="60"/>
    <x v="292"/>
    <x v="0"/>
    <x v="2"/>
    <x v="91"/>
  </r>
  <r>
    <n v="724"/>
    <s v="TEDHAVA"/>
    <x v="686"/>
    <s v="Uttam Kushoba Patle"/>
    <s v="Kushoba Patle"/>
    <x v="0"/>
    <s v="APL"/>
    <x v="0"/>
    <s v="Yes"/>
    <s v="Yes"/>
    <n v="32"/>
    <x v="50"/>
    <x v="0"/>
    <x v="0"/>
    <x v="108"/>
  </r>
  <r>
    <n v="725"/>
    <s v="TEDHAVA"/>
    <x v="687"/>
    <s v="Vameshwar Suka Vasnik"/>
    <s v="Suka Vasnik"/>
    <x v="0"/>
    <s v="APL"/>
    <x v="0"/>
    <s v="Yes"/>
    <s v="Yes"/>
    <n v="71"/>
    <x v="79"/>
    <x v="0"/>
    <x v="0"/>
    <x v="166"/>
  </r>
  <r>
    <n v="726"/>
    <s v="TEDHAVA"/>
    <x v="688"/>
    <s v="Vandana Janardan Gajbhiye"/>
    <s v="Janardan"/>
    <x v="1"/>
    <s v="BPL"/>
    <x v="3"/>
    <s v="Yes"/>
    <s v="Yes"/>
    <n v="36"/>
    <x v="262"/>
    <x v="0"/>
    <x v="2"/>
    <x v="15"/>
  </r>
  <r>
    <n v="727"/>
    <s v="TEDHAVA"/>
    <x v="223"/>
    <s v="Vasantlal Dongaru Singadhupe"/>
    <s v="Dongaru"/>
    <x v="0"/>
    <s v="BPL"/>
    <x v="3"/>
    <s v="Yes"/>
    <s v="No"/>
    <n v="34"/>
    <x v="293"/>
    <x v="0"/>
    <x v="0"/>
    <x v="113"/>
  </r>
  <r>
    <n v="728"/>
    <s v="TEDHAVA"/>
    <x v="689"/>
    <s v="Vilas Gajbhiye"/>
    <s v="Prakash"/>
    <x v="0"/>
    <s v="APL"/>
    <x v="0"/>
    <s v="Yes"/>
    <s v="Yes"/>
    <n v="76"/>
    <x v="53"/>
    <x v="0"/>
    <x v="2"/>
    <x v="61"/>
  </r>
  <r>
    <n v="729"/>
    <s v="TEDHAVA"/>
    <x v="690"/>
    <s v="Vinod Ramdas Kolhatkar"/>
    <s v="Ramdas Kolhatkar"/>
    <x v="0"/>
    <s v="BPL"/>
    <x v="6"/>
    <s v="No"/>
    <s v="No"/>
    <n v="67"/>
    <x v="157"/>
    <x v="3"/>
    <x v="1"/>
    <x v="159"/>
  </r>
  <r>
    <n v="730"/>
    <s v="TEDHAVA"/>
    <x v="691"/>
    <s v="Vinod Shobhachand Matre"/>
    <s v="Shobhachand"/>
    <x v="0"/>
    <s v="APL"/>
    <x v="2"/>
    <s v="Yes"/>
    <s v="Yes"/>
    <n v="45"/>
    <x v="6"/>
    <x v="1"/>
    <x v="3"/>
    <x v="6"/>
  </r>
  <r>
    <n v="731"/>
    <s v="TEDHAVA"/>
    <x v="692"/>
    <s v="Vinod Tilakchand Patle"/>
    <s v="Tilakchand Patle"/>
    <x v="0"/>
    <s v="APL"/>
    <x v="2"/>
    <s v="No"/>
    <s v="No"/>
    <n v="61"/>
    <x v="6"/>
    <x v="1"/>
    <x v="3"/>
    <x v="6"/>
  </r>
  <r>
    <n v="732"/>
    <s v="TEDHAVA"/>
    <x v="693"/>
    <s v="Vithhal Zingu Neware"/>
    <s v="Zingu Neware"/>
    <x v="0"/>
    <s v="APL"/>
    <x v="2"/>
    <s v="Yes"/>
    <s v="Yes"/>
    <n v="32"/>
    <x v="6"/>
    <x v="1"/>
    <x v="3"/>
    <x v="6"/>
  </r>
  <r>
    <n v="733"/>
    <s v="TEDHAVA"/>
    <x v="694"/>
    <s v="Yashwantray Naval Matare"/>
    <s v="Naval"/>
    <x v="0"/>
    <s v="APL"/>
    <x v="2"/>
    <s v="Yes"/>
    <s v="Yes"/>
    <n v="79"/>
    <x v="6"/>
    <x v="1"/>
    <x v="3"/>
    <x v="6"/>
  </r>
  <r>
    <n v="734"/>
    <s v="TEDHAVA"/>
    <x v="695"/>
    <s v="Yesalal Madari Pache"/>
    <s v="Madari Pache"/>
    <x v="0"/>
    <s v="APL"/>
    <x v="2"/>
    <s v="No"/>
    <s v="No"/>
    <n v="67"/>
    <x v="6"/>
    <x v="1"/>
    <x v="3"/>
    <x v="6"/>
  </r>
  <r>
    <n v="735"/>
    <s v="TEDHAVA"/>
    <x v="696"/>
    <s v="Yomanbai Prakash Gajbhiye"/>
    <s v="Prakash Gajbhiye"/>
    <x v="0"/>
    <s v="BPL"/>
    <x v="6"/>
    <s v="No"/>
    <s v="No"/>
    <n v="72"/>
    <x v="128"/>
    <x v="0"/>
    <x v="0"/>
    <x v="51"/>
  </r>
  <r>
    <n v="736"/>
    <s v="TEDHAVA"/>
    <x v="697"/>
    <s v="Yuvraj Pritlal Turkar"/>
    <s v="Pritlal"/>
    <x v="0"/>
    <s v="APL"/>
    <x v="2"/>
    <s v="Yes"/>
    <s v="Yes"/>
    <n v="43"/>
    <x v="6"/>
    <x v="1"/>
    <x v="3"/>
    <x v="6"/>
  </r>
  <r>
    <n v="737"/>
    <s v="TEDHAVA"/>
    <x v="698"/>
    <s v="Zameshwari Sovind Turkar"/>
    <s v="Sovind"/>
    <x v="1"/>
    <s v="APL"/>
    <x v="5"/>
    <s v="Yes"/>
    <s v="Yes"/>
    <n v="60"/>
    <x v="8"/>
    <x v="0"/>
    <x v="0"/>
    <x v="36"/>
  </r>
  <r>
    <n v="738"/>
    <s v="TEDHAVA"/>
    <x v="699"/>
    <s v="Zanaklal Laxman Turkar"/>
    <s v="Laxman"/>
    <x v="0"/>
    <s v="APL"/>
    <x v="2"/>
    <s v="Yes"/>
    <s v="Yes"/>
    <n v="39"/>
    <x v="6"/>
    <x v="1"/>
    <x v="3"/>
    <x v="6"/>
  </r>
  <r>
    <n v="739"/>
    <s v="TEDHAVA"/>
    <x v="700"/>
    <s v="Zankalal Laxaman Turkar"/>
    <s v="Laxaman Turkar"/>
    <x v="0"/>
    <s v="APL"/>
    <x v="0"/>
    <s v="Yes"/>
    <s v="Yes"/>
    <n v="45"/>
    <x v="294"/>
    <x v="0"/>
    <x v="1"/>
    <x v="92"/>
  </r>
  <r>
    <n v="740"/>
    <s v="TEDHAVA"/>
    <x v="701"/>
    <s v="Zanklal Turkar"/>
    <s v="Narayan"/>
    <x v="0"/>
    <s v="APL"/>
    <x v="0"/>
    <s v="Yes"/>
    <s v="Yes"/>
    <n v="77"/>
    <x v="295"/>
    <x v="0"/>
    <x v="0"/>
    <x v="135"/>
  </r>
  <r>
    <n v="741"/>
    <s v="TEDHAVA"/>
    <x v="702"/>
    <s v="Zelanbai Pache"/>
    <s v="Chambharu"/>
    <x v="0"/>
    <s v="APL"/>
    <x v="5"/>
    <s v="Yes"/>
    <s v="Yes"/>
    <n v="52"/>
    <x v="100"/>
    <x v="3"/>
    <x v="5"/>
    <x v="16"/>
  </r>
  <r>
    <n v="742"/>
    <s v="TEDHAVA"/>
    <x v="703"/>
    <s v="Zingru Saktu Bisen"/>
    <s v="Saktu Bisen"/>
    <x v="0"/>
    <s v="APL"/>
    <x v="0"/>
    <s v="Yes"/>
    <s v="Yes"/>
    <n v="70"/>
    <x v="160"/>
    <x v="0"/>
    <x v="2"/>
    <x v="1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2E2351-6264-444F-B03D-F013A0D79AB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C3:D12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9">
        <item x="3"/>
        <item x="2"/>
        <item x="4"/>
        <item x="7"/>
        <item x="6"/>
        <item x="0"/>
        <item x="1"/>
        <item x="5"/>
        <item t="default"/>
      </items>
    </pivotField>
    <pivotField showAll="0"/>
    <pivotField showAll="0"/>
    <pivotField numFmtId="1" showAll="0"/>
    <pivotField showAll="0"/>
    <pivotField showAll="0"/>
    <pivotField showAll="0"/>
    <pivotField numFmtId="1" showAll="0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Farmar  Category" fld="7" subtotal="count" baseField="0" baseItem="0"/>
  </dataFields>
  <chartFormats count="9">
    <chartFormat chart="1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5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5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5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5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5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5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15" format="2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07C90C-7F70-40BF-94D2-714F66B425B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K15:L20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>
      <items count="297">
        <item x="6"/>
        <item x="36"/>
        <item x="267"/>
        <item x="16"/>
        <item x="271"/>
        <item x="231"/>
        <item x="147"/>
        <item x="19"/>
        <item x="33"/>
        <item x="5"/>
        <item x="144"/>
        <item x="22"/>
        <item x="93"/>
        <item x="253"/>
        <item x="112"/>
        <item x="120"/>
        <item x="89"/>
        <item x="262"/>
        <item x="293"/>
        <item x="122"/>
        <item x="263"/>
        <item x="24"/>
        <item x="278"/>
        <item x="8"/>
        <item x="179"/>
        <item x="158"/>
        <item x="76"/>
        <item x="42"/>
        <item x="281"/>
        <item x="70"/>
        <item x="289"/>
        <item x="105"/>
        <item x="153"/>
        <item x="148"/>
        <item x="13"/>
        <item x="183"/>
        <item x="2"/>
        <item x="100"/>
        <item x="211"/>
        <item x="59"/>
        <item x="225"/>
        <item x="90"/>
        <item x="35"/>
        <item x="170"/>
        <item x="31"/>
        <item x="193"/>
        <item x="74"/>
        <item x="216"/>
        <item x="169"/>
        <item x="38"/>
        <item x="61"/>
        <item x="176"/>
        <item x="217"/>
        <item x="34"/>
        <item x="81"/>
        <item x="75"/>
        <item x="45"/>
        <item x="84"/>
        <item x="192"/>
        <item x="166"/>
        <item x="229"/>
        <item x="230"/>
        <item x="140"/>
        <item x="17"/>
        <item x="44"/>
        <item x="146"/>
        <item x="208"/>
        <item x="0"/>
        <item x="21"/>
        <item x="132"/>
        <item x="11"/>
        <item x="273"/>
        <item x="119"/>
        <item x="1"/>
        <item x="123"/>
        <item x="236"/>
        <item x="54"/>
        <item x="28"/>
        <item x="114"/>
        <item x="279"/>
        <item x="206"/>
        <item x="40"/>
        <item x="110"/>
        <item x="12"/>
        <item x="244"/>
        <item x="97"/>
        <item x="116"/>
        <item x="195"/>
        <item x="125"/>
        <item x="161"/>
        <item x="7"/>
        <item x="14"/>
        <item x="175"/>
        <item x="128"/>
        <item x="282"/>
        <item x="50"/>
        <item x="58"/>
        <item x="47"/>
        <item x="226"/>
        <item x="152"/>
        <item x="69"/>
        <item x="207"/>
        <item x="129"/>
        <item x="103"/>
        <item x="141"/>
        <item x="27"/>
        <item x="20"/>
        <item x="126"/>
        <item x="162"/>
        <item x="118"/>
        <item x="92"/>
        <item x="292"/>
        <item x="60"/>
        <item x="77"/>
        <item x="178"/>
        <item x="185"/>
        <item x="203"/>
        <item x="26"/>
        <item x="111"/>
        <item x="194"/>
        <item x="157"/>
        <item x="46"/>
        <item x="190"/>
        <item x="214"/>
        <item x="227"/>
        <item x="96"/>
        <item x="215"/>
        <item x="201"/>
        <item x="99"/>
        <item x="199"/>
        <item x="56"/>
        <item x="106"/>
        <item x="88"/>
        <item x="235"/>
        <item x="53"/>
        <item x="268"/>
        <item x="85"/>
        <item x="189"/>
        <item x="136"/>
        <item x="159"/>
        <item x="242"/>
        <item x="55"/>
        <item x="135"/>
        <item x="113"/>
        <item x="127"/>
        <item x="66"/>
        <item x="264"/>
        <item x="82"/>
        <item x="186"/>
        <item x="29"/>
        <item x="212"/>
        <item x="138"/>
        <item x="163"/>
        <item x="109"/>
        <item x="228"/>
        <item x="91"/>
        <item x="222"/>
        <item x="174"/>
        <item x="197"/>
        <item x="213"/>
        <item x="247"/>
        <item x="188"/>
        <item x="290"/>
        <item x="277"/>
        <item x="243"/>
        <item x="181"/>
        <item x="49"/>
        <item x="43"/>
        <item x="94"/>
        <item x="79"/>
        <item x="63"/>
        <item x="167"/>
        <item x="134"/>
        <item x="30"/>
        <item x="191"/>
        <item x="95"/>
        <item x="261"/>
        <item x="256"/>
        <item x="238"/>
        <item x="265"/>
        <item x="202"/>
        <item x="177"/>
        <item x="121"/>
        <item x="285"/>
        <item x="171"/>
        <item x="101"/>
        <item x="218"/>
        <item x="65"/>
        <item x="137"/>
        <item x="15"/>
        <item x="102"/>
        <item x="251"/>
        <item x="276"/>
        <item x="145"/>
        <item x="224"/>
        <item x="295"/>
        <item x="200"/>
        <item x="3"/>
        <item x="234"/>
        <item x="250"/>
        <item x="68"/>
        <item x="10"/>
        <item x="260"/>
        <item x="291"/>
        <item x="237"/>
        <item x="57"/>
        <item x="172"/>
        <item x="210"/>
        <item x="284"/>
        <item x="154"/>
        <item x="9"/>
        <item x="131"/>
        <item x="255"/>
        <item x="150"/>
        <item x="52"/>
        <item x="205"/>
        <item x="37"/>
        <item x="117"/>
        <item x="73"/>
        <item x="280"/>
        <item x="287"/>
        <item x="165"/>
        <item x="246"/>
        <item x="98"/>
        <item x="39"/>
        <item x="4"/>
        <item x="80"/>
        <item x="259"/>
        <item x="252"/>
        <item x="32"/>
        <item x="143"/>
        <item x="241"/>
        <item x="258"/>
        <item x="67"/>
        <item x="133"/>
        <item x="87"/>
        <item x="72"/>
        <item x="266"/>
        <item x="83"/>
        <item x="204"/>
        <item x="209"/>
        <item x="219"/>
        <item x="283"/>
        <item x="245"/>
        <item x="115"/>
        <item x="155"/>
        <item x="18"/>
        <item x="173"/>
        <item x="275"/>
        <item x="270"/>
        <item x="25"/>
        <item x="41"/>
        <item x="269"/>
        <item x="288"/>
        <item x="294"/>
        <item x="198"/>
        <item x="104"/>
        <item x="51"/>
        <item x="151"/>
        <item x="23"/>
        <item x="124"/>
        <item x="221"/>
        <item x="249"/>
        <item x="142"/>
        <item x="62"/>
        <item x="248"/>
        <item x="160"/>
        <item x="48"/>
        <item x="78"/>
        <item x="239"/>
        <item x="232"/>
        <item x="130"/>
        <item x="220"/>
        <item x="184"/>
        <item x="180"/>
        <item x="274"/>
        <item x="168"/>
        <item x="108"/>
        <item x="139"/>
        <item x="64"/>
        <item x="286"/>
        <item x="86"/>
        <item x="223"/>
        <item x="254"/>
        <item x="272"/>
        <item x="71"/>
        <item x="187"/>
        <item x="182"/>
        <item x="233"/>
        <item x="107"/>
        <item x="196"/>
        <item x="156"/>
        <item x="164"/>
        <item x="257"/>
        <item x="240"/>
        <item x="149"/>
        <item t="default"/>
      </items>
    </pivotField>
    <pivotField axis="axisRow" dataField="1" showAll="0">
      <items count="5">
        <item x="3"/>
        <item x="1"/>
        <item x="0"/>
        <item x="2"/>
        <item t="default"/>
      </items>
    </pivotField>
    <pivotField showAll="0"/>
    <pivotField numFmtI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Land_Ownership" fld="12" subtotal="count" baseField="0" baseItem="0"/>
  </dataFields>
  <chartFormats count="5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4AFCD7-8ADD-4F85-A107-43D0ACC1D1D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G15:H25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axis="axisRow" dataField="1" showAll="0">
      <items count="10">
        <item x="4"/>
        <item x="7"/>
        <item x="8"/>
        <item x="3"/>
        <item x="0"/>
        <item x="2"/>
        <item x="1"/>
        <item x="5"/>
        <item x="6"/>
        <item t="default"/>
      </items>
    </pivotField>
    <pivotField numFmtId="1" showAll="0"/>
  </pivotFields>
  <rowFields count="1">
    <field x="1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Main_Crop" fld="13" subtotal="count" baseField="0" baseItem="0"/>
  </dataFields>
  <chartFormats count="10">
    <chartFormat chart="1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13" count="1" selected="0">
            <x v="7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13" count="1" selected="0">
            <x v="8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EE640-8DD3-4933-A604-CC037952737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L6" firstHeaderRow="1" firstDataRow="1" firstDataCol="1"/>
  <pivotFields count="15"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Gender" fld="5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346AE1-FB71-43C5-9ED1-18C1FE88649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F3:H12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3"/>
        <item x="2"/>
        <item x="4"/>
        <item x="7"/>
        <item x="6"/>
        <item x="0"/>
        <item x="1"/>
        <item x="5"/>
        <item t="default"/>
      </items>
    </pivotField>
    <pivotField showAll="0"/>
    <pivotField showAll="0"/>
    <pivotField numFmtId="1" showAll="0"/>
    <pivotField dataField="1" showAll="0"/>
    <pivotField showAll="0"/>
    <pivotField showAll="0"/>
    <pivotField dataField="1" numFmtId="1" showAll="0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nnual_Farming_Income_INR" fld="14" baseField="0" baseItem="0" numFmtId="1"/>
    <dataField name="Sum of Land_Size_Acres" fld="11" baseField="0" baseItem="0"/>
  </dataFields>
  <chartFormats count="6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6"/>
  <sheetViews>
    <sheetView showGridLines="0" tabSelected="1" zoomScale="70" zoomScaleNormal="70" workbookViewId="0"/>
  </sheetViews>
  <sheetFormatPr defaultRowHeight="14.4" x14ac:dyDescent="0.3"/>
  <cols>
    <col min="1" max="1" width="13.109375" bestFit="1" customWidth="1"/>
    <col min="2" max="2" width="24.33203125" bestFit="1" customWidth="1"/>
  </cols>
  <sheetData>
    <row r="4" spans="1:1" x14ac:dyDescent="0.3">
      <c r="A4" s="5"/>
    </row>
    <row r="5" spans="1:1" x14ac:dyDescent="0.3">
      <c r="A5" s="5"/>
    </row>
    <row r="6" spans="1:1" x14ac:dyDescent="0.3">
      <c r="A6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43"/>
  <sheetViews>
    <sheetView zoomScale="70" zoomScaleNormal="70" workbookViewId="0">
      <selection sqref="A1:A743"/>
    </sheetView>
  </sheetViews>
  <sheetFormatPr defaultColWidth="25.5546875" defaultRowHeight="14.4" x14ac:dyDescent="0.3"/>
  <cols>
    <col min="1" max="1" width="31.5546875" customWidth="1"/>
    <col min="2" max="2" width="11.44140625" style="9" bestFit="1" customWidth="1"/>
    <col min="3" max="3" width="17.33203125" style="9" bestFit="1" customWidth="1"/>
    <col min="4" max="4" width="17.77734375" style="9" bestFit="1" customWidth="1"/>
    <col min="5" max="5" width="31.21875" style="9" bestFit="1" customWidth="1"/>
    <col min="6" max="6" width="25.109375" style="9" bestFit="1" customWidth="1"/>
    <col min="7" max="7" width="12.21875" style="9" bestFit="1" customWidth="1"/>
    <col min="8" max="8" width="13.5546875" style="9" bestFit="1" customWidth="1"/>
    <col min="9" max="9" width="23" style="9" bestFit="1" customWidth="1"/>
    <col min="10" max="10" width="19.5546875" style="9" bestFit="1" customWidth="1"/>
    <col min="11" max="11" width="19.5546875" style="10" bestFit="1" customWidth="1"/>
    <col min="12" max="12" width="9.44140625" style="9" bestFit="1" customWidth="1"/>
    <col min="13" max="13" width="20.5546875" style="2" bestFit="1" customWidth="1"/>
    <col min="14" max="14" width="24.5546875" style="6" bestFit="1" customWidth="1"/>
    <col min="15" max="15" width="15" style="2" bestFit="1" customWidth="1"/>
    <col min="16" max="16" width="31.109375" style="8" bestFit="1" customWidth="1"/>
    <col min="17" max="17" width="27" bestFit="1" customWidth="1"/>
  </cols>
  <sheetData>
    <row r="1" spans="1:16" x14ac:dyDescent="0.3">
      <c r="A1" s="16"/>
      <c r="B1" s="3" t="s">
        <v>1016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4" t="s">
        <v>8</v>
      </c>
      <c r="L1" s="3" t="s">
        <v>9</v>
      </c>
      <c r="M1" s="3" t="s">
        <v>10</v>
      </c>
      <c r="N1" s="4" t="s">
        <v>11</v>
      </c>
      <c r="O1" s="3" t="s">
        <v>12</v>
      </c>
      <c r="P1" s="3" t="s">
        <v>13</v>
      </c>
    </row>
    <row r="2" spans="1:16" x14ac:dyDescent="0.3">
      <c r="A2" s="16"/>
      <c r="B2" s="1">
        <v>1</v>
      </c>
      <c r="C2" s="1" t="s">
        <v>14</v>
      </c>
      <c r="D2" s="1">
        <v>57020316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2" t="s">
        <v>20</v>
      </c>
      <c r="L2" s="6">
        <v>46</v>
      </c>
      <c r="M2" s="2">
        <v>0.91</v>
      </c>
      <c r="N2" s="6" t="s">
        <v>21</v>
      </c>
      <c r="O2" s="2" t="s">
        <v>22</v>
      </c>
      <c r="P2" s="8">
        <v>43000</v>
      </c>
    </row>
    <row r="3" spans="1:16" x14ac:dyDescent="0.3">
      <c r="A3" s="16"/>
      <c r="B3" s="1">
        <v>2</v>
      </c>
      <c r="C3" s="1" t="s">
        <v>881</v>
      </c>
      <c r="D3" s="1">
        <v>2251381201</v>
      </c>
      <c r="E3" s="1" t="s">
        <v>1017</v>
      </c>
      <c r="F3" s="1" t="s">
        <v>1198</v>
      </c>
      <c r="G3" s="1" t="s">
        <v>88</v>
      </c>
      <c r="H3" s="1" t="s">
        <v>18</v>
      </c>
      <c r="I3" s="1" t="s">
        <v>19</v>
      </c>
      <c r="J3" s="1" t="s">
        <v>1015</v>
      </c>
      <c r="K3" s="2" t="s">
        <v>1015</v>
      </c>
      <c r="L3" s="6">
        <v>28</v>
      </c>
      <c r="M3" s="2">
        <v>0.99</v>
      </c>
      <c r="N3" s="6" t="s">
        <v>21</v>
      </c>
      <c r="O3" s="2" t="s">
        <v>41</v>
      </c>
      <c r="P3" s="8">
        <v>18000</v>
      </c>
    </row>
    <row r="4" spans="1:16" x14ac:dyDescent="0.3">
      <c r="A4" s="16"/>
      <c r="B4" s="1">
        <v>3</v>
      </c>
      <c r="C4" s="1" t="s">
        <v>14</v>
      </c>
      <c r="D4" s="1">
        <v>56005472</v>
      </c>
      <c r="E4" s="1" t="s">
        <v>23</v>
      </c>
      <c r="F4" s="1" t="s">
        <v>24</v>
      </c>
      <c r="G4" s="1" t="s">
        <v>17</v>
      </c>
      <c r="H4" s="1" t="s">
        <v>18</v>
      </c>
      <c r="I4" s="1" t="s">
        <v>19</v>
      </c>
      <c r="J4" s="1" t="s">
        <v>20</v>
      </c>
      <c r="K4" s="2" t="s">
        <v>20</v>
      </c>
      <c r="L4" s="6">
        <v>55</v>
      </c>
      <c r="M4" s="2">
        <v>0.54</v>
      </c>
      <c r="N4" s="6" t="s">
        <v>21</v>
      </c>
      <c r="O4" s="2" t="s">
        <v>22</v>
      </c>
      <c r="P4" s="8">
        <v>23000</v>
      </c>
    </row>
    <row r="5" spans="1:16" x14ac:dyDescent="0.3">
      <c r="A5" s="16"/>
      <c r="B5" s="1">
        <v>4</v>
      </c>
      <c r="C5" s="1" t="s">
        <v>179</v>
      </c>
      <c r="D5" s="1">
        <v>2250414575</v>
      </c>
      <c r="E5" s="1" t="s">
        <v>1018</v>
      </c>
      <c r="F5" s="1" t="s">
        <v>1199</v>
      </c>
      <c r="G5" s="1" t="s">
        <v>17</v>
      </c>
      <c r="H5" s="1" t="s">
        <v>18</v>
      </c>
      <c r="I5" s="1" t="s">
        <v>19</v>
      </c>
      <c r="J5" s="1" t="s">
        <v>1015</v>
      </c>
      <c r="K5" s="2" t="s">
        <v>1015</v>
      </c>
      <c r="L5" s="6">
        <v>67</v>
      </c>
      <c r="M5" s="2">
        <v>3.17</v>
      </c>
      <c r="N5" s="6" t="s">
        <v>21</v>
      </c>
      <c r="O5" s="2" t="s">
        <v>22</v>
      </c>
      <c r="P5" s="8">
        <v>113000</v>
      </c>
    </row>
    <row r="6" spans="1:16" x14ac:dyDescent="0.3">
      <c r="A6" s="16"/>
      <c r="B6" s="1">
        <v>5</v>
      </c>
      <c r="C6" s="1" t="s">
        <v>14</v>
      </c>
      <c r="D6" s="1">
        <v>57017788</v>
      </c>
      <c r="E6" s="1" t="s">
        <v>1019</v>
      </c>
      <c r="F6" s="1" t="s">
        <v>1200</v>
      </c>
      <c r="G6" s="1" t="s">
        <v>17</v>
      </c>
      <c r="H6" s="1" t="s">
        <v>25</v>
      </c>
      <c r="I6" s="1" t="s">
        <v>26</v>
      </c>
      <c r="J6" s="1" t="s">
        <v>20</v>
      </c>
      <c r="K6" s="2" t="s">
        <v>20</v>
      </c>
      <c r="L6" s="6">
        <v>64</v>
      </c>
      <c r="M6" s="2">
        <v>3.75</v>
      </c>
      <c r="N6" s="6" t="s">
        <v>21</v>
      </c>
      <c r="O6" s="2" t="s">
        <v>27</v>
      </c>
      <c r="P6" s="8">
        <v>202000</v>
      </c>
    </row>
    <row r="7" spans="1:16" x14ac:dyDescent="0.3">
      <c r="A7" s="16"/>
      <c r="B7" s="1">
        <v>6</v>
      </c>
      <c r="C7" s="1" t="s">
        <v>179</v>
      </c>
      <c r="D7" s="1">
        <v>2080077166</v>
      </c>
      <c r="E7" s="1" t="s">
        <v>882</v>
      </c>
      <c r="F7" s="1" t="s">
        <v>883</v>
      </c>
      <c r="G7" s="1" t="s">
        <v>17</v>
      </c>
      <c r="H7" s="1" t="s">
        <v>18</v>
      </c>
      <c r="I7" s="1" t="s">
        <v>19</v>
      </c>
      <c r="J7" s="1" t="s">
        <v>20</v>
      </c>
      <c r="K7" s="2" t="s">
        <v>20</v>
      </c>
      <c r="L7" s="6">
        <v>69</v>
      </c>
      <c r="M7" s="2">
        <v>0.23</v>
      </c>
      <c r="N7" s="6" t="s">
        <v>21</v>
      </c>
      <c r="O7" s="2" t="s">
        <v>22</v>
      </c>
      <c r="P7" s="8">
        <v>5000</v>
      </c>
    </row>
    <row r="8" spans="1:16" x14ac:dyDescent="0.3">
      <c r="A8" s="16"/>
      <c r="B8" s="1">
        <v>7</v>
      </c>
      <c r="C8" s="1" t="s">
        <v>14</v>
      </c>
      <c r="D8" s="1">
        <v>57026127</v>
      </c>
      <c r="E8" s="1" t="s">
        <v>28</v>
      </c>
      <c r="F8" s="1" t="s">
        <v>29</v>
      </c>
      <c r="G8" s="1" t="s">
        <v>17</v>
      </c>
      <c r="H8" s="1" t="s">
        <v>18</v>
      </c>
      <c r="I8" s="1" t="s">
        <v>30</v>
      </c>
      <c r="J8" s="1" t="s">
        <v>1015</v>
      </c>
      <c r="K8" s="2" t="s">
        <v>1015</v>
      </c>
      <c r="L8" s="6">
        <v>65</v>
      </c>
      <c r="M8" s="2">
        <v>0</v>
      </c>
      <c r="N8" s="6" t="s">
        <v>31</v>
      </c>
      <c r="O8" s="2" t="s">
        <v>32</v>
      </c>
      <c r="P8" s="8">
        <v>0</v>
      </c>
    </row>
    <row r="9" spans="1:16" x14ac:dyDescent="0.3">
      <c r="A9" s="16"/>
      <c r="B9" s="1">
        <v>8</v>
      </c>
      <c r="C9" s="1" t="s">
        <v>179</v>
      </c>
      <c r="D9" s="1">
        <v>2080074631</v>
      </c>
      <c r="E9" s="1" t="s">
        <v>884</v>
      </c>
      <c r="F9" s="1" t="s">
        <v>885</v>
      </c>
      <c r="G9" s="1" t="s">
        <v>17</v>
      </c>
      <c r="H9" s="1" t="s">
        <v>25</v>
      </c>
      <c r="I9" s="1" t="s">
        <v>216</v>
      </c>
      <c r="J9" s="1" t="s">
        <v>20</v>
      </c>
      <c r="K9" s="2" t="s">
        <v>20</v>
      </c>
      <c r="L9" s="6">
        <v>36</v>
      </c>
      <c r="M9" s="2">
        <v>1.22</v>
      </c>
      <c r="N9" s="6" t="s">
        <v>21</v>
      </c>
      <c r="O9" s="2" t="s">
        <v>22</v>
      </c>
      <c r="P9" s="8">
        <v>47000</v>
      </c>
    </row>
    <row r="10" spans="1:16" x14ac:dyDescent="0.3">
      <c r="A10" s="16"/>
      <c r="B10" s="1">
        <v>9</v>
      </c>
      <c r="C10" s="1" t="s">
        <v>14</v>
      </c>
      <c r="D10" s="1">
        <v>56013069</v>
      </c>
      <c r="E10" s="1" t="s">
        <v>33</v>
      </c>
      <c r="F10" s="1" t="s">
        <v>34</v>
      </c>
      <c r="G10" s="1" t="s">
        <v>17</v>
      </c>
      <c r="H10" s="1" t="s">
        <v>18</v>
      </c>
      <c r="I10" s="1" t="s">
        <v>35</v>
      </c>
      <c r="J10" s="1" t="s">
        <v>1015</v>
      </c>
      <c r="K10" s="2" t="s">
        <v>1015</v>
      </c>
      <c r="L10" s="6">
        <v>83</v>
      </c>
      <c r="M10" s="2">
        <v>0.39</v>
      </c>
      <c r="N10" s="6" t="s">
        <v>36</v>
      </c>
      <c r="O10" s="2" t="s">
        <v>22</v>
      </c>
      <c r="P10" s="8">
        <v>16000</v>
      </c>
    </row>
    <row r="11" spans="1:16" x14ac:dyDescent="0.3">
      <c r="A11" s="16"/>
      <c r="B11" s="1">
        <v>10</v>
      </c>
      <c r="C11" s="1" t="s">
        <v>179</v>
      </c>
      <c r="D11" s="1">
        <v>2080081271</v>
      </c>
      <c r="E11" s="1" t="s">
        <v>886</v>
      </c>
      <c r="F11" s="1" t="s">
        <v>887</v>
      </c>
      <c r="G11" s="1" t="s">
        <v>17</v>
      </c>
      <c r="H11" s="1" t="s">
        <v>18</v>
      </c>
      <c r="I11" s="1" t="s">
        <v>30</v>
      </c>
      <c r="J11" s="1" t="s">
        <v>20</v>
      </c>
      <c r="K11" s="2" t="s">
        <v>20</v>
      </c>
      <c r="L11" s="6">
        <v>43</v>
      </c>
      <c r="M11" s="2">
        <v>0</v>
      </c>
      <c r="N11" s="6" t="s">
        <v>31</v>
      </c>
      <c r="O11" s="2" t="s">
        <v>32</v>
      </c>
      <c r="P11" s="8">
        <v>0</v>
      </c>
    </row>
    <row r="12" spans="1:16" x14ac:dyDescent="0.3">
      <c r="A12" s="16"/>
      <c r="B12" s="1">
        <v>11</v>
      </c>
      <c r="C12" s="1" t="s">
        <v>14</v>
      </c>
      <c r="D12" s="1">
        <v>57027532</v>
      </c>
      <c r="E12" s="1" t="s">
        <v>37</v>
      </c>
      <c r="F12" s="1" t="s">
        <v>38</v>
      </c>
      <c r="G12" s="1" t="s">
        <v>17</v>
      </c>
      <c r="H12" s="1" t="s">
        <v>18</v>
      </c>
      <c r="I12" s="1" t="s">
        <v>30</v>
      </c>
      <c r="J12" s="1" t="s">
        <v>20</v>
      </c>
      <c r="K12" s="2" t="s">
        <v>20</v>
      </c>
      <c r="L12" s="6">
        <v>70</v>
      </c>
      <c r="M12" s="2">
        <v>0</v>
      </c>
      <c r="N12" s="6" t="s">
        <v>31</v>
      </c>
      <c r="O12" s="2" t="s">
        <v>32</v>
      </c>
      <c r="P12" s="8">
        <v>0</v>
      </c>
    </row>
    <row r="13" spans="1:16" x14ac:dyDescent="0.3">
      <c r="A13" s="16"/>
      <c r="B13" s="1">
        <v>12</v>
      </c>
      <c r="C13" s="1" t="s">
        <v>179</v>
      </c>
      <c r="D13" s="1">
        <v>2080077407</v>
      </c>
      <c r="E13" s="1" t="s">
        <v>888</v>
      </c>
      <c r="F13" s="1" t="s">
        <v>889</v>
      </c>
      <c r="G13" s="1" t="s">
        <v>17</v>
      </c>
      <c r="H13" s="1" t="s">
        <v>25</v>
      </c>
      <c r="I13" s="1" t="s">
        <v>216</v>
      </c>
      <c r="J13" s="1" t="s">
        <v>20</v>
      </c>
      <c r="K13" s="2" t="s">
        <v>20</v>
      </c>
      <c r="L13" s="6">
        <v>43</v>
      </c>
      <c r="M13" s="2">
        <v>3.46</v>
      </c>
      <c r="N13" s="6" t="s">
        <v>21</v>
      </c>
      <c r="O13" s="2" t="s">
        <v>55</v>
      </c>
      <c r="P13" s="8">
        <v>147000</v>
      </c>
    </row>
    <row r="14" spans="1:16" x14ac:dyDescent="0.3">
      <c r="A14" s="16"/>
      <c r="B14" s="1">
        <v>13</v>
      </c>
      <c r="C14" s="1" t="s">
        <v>14</v>
      </c>
      <c r="D14" s="1">
        <v>56008631</v>
      </c>
      <c r="E14" s="1" t="s">
        <v>39</v>
      </c>
      <c r="F14" s="1" t="s">
        <v>40</v>
      </c>
      <c r="G14" s="1" t="s">
        <v>17</v>
      </c>
      <c r="H14" s="1" t="s">
        <v>18</v>
      </c>
      <c r="I14" s="1" t="s">
        <v>19</v>
      </c>
      <c r="J14" s="1" t="s">
        <v>1015</v>
      </c>
      <c r="K14" s="2" t="s">
        <v>1015</v>
      </c>
      <c r="L14" s="6">
        <v>77</v>
      </c>
      <c r="M14" s="2">
        <v>3.26</v>
      </c>
      <c r="N14" s="6" t="s">
        <v>21</v>
      </c>
      <c r="O14" s="2" t="s">
        <v>41</v>
      </c>
      <c r="P14" s="8">
        <v>84000</v>
      </c>
    </row>
    <row r="15" spans="1:16" x14ac:dyDescent="0.3">
      <c r="A15" s="16"/>
      <c r="B15" s="1">
        <v>14</v>
      </c>
      <c r="C15" s="1" t="s">
        <v>179</v>
      </c>
      <c r="D15" s="1">
        <v>2080080918</v>
      </c>
      <c r="E15" s="1" t="s">
        <v>890</v>
      </c>
      <c r="F15" s="1" t="s">
        <v>891</v>
      </c>
      <c r="G15" s="1" t="s">
        <v>88</v>
      </c>
      <c r="H15" s="1" t="s">
        <v>18</v>
      </c>
      <c r="I15" s="1" t="s">
        <v>120</v>
      </c>
      <c r="J15" s="1" t="s">
        <v>20</v>
      </c>
      <c r="K15" s="2" t="s">
        <v>20</v>
      </c>
      <c r="L15" s="6">
        <v>44</v>
      </c>
      <c r="M15" s="2">
        <v>0.94</v>
      </c>
      <c r="N15" s="6" t="s">
        <v>21</v>
      </c>
      <c r="O15" s="2" t="s">
        <v>41</v>
      </c>
      <c r="P15" s="8">
        <v>27000</v>
      </c>
    </row>
    <row r="16" spans="1:16" x14ac:dyDescent="0.3">
      <c r="A16" s="16"/>
      <c r="B16" s="1">
        <v>15</v>
      </c>
      <c r="C16" s="1" t="s">
        <v>14</v>
      </c>
      <c r="D16" s="1">
        <v>56019503</v>
      </c>
      <c r="E16" s="1" t="s">
        <v>42</v>
      </c>
      <c r="F16" s="1" t="s">
        <v>43</v>
      </c>
      <c r="G16" s="1" t="s">
        <v>17</v>
      </c>
      <c r="H16" s="1" t="s">
        <v>18</v>
      </c>
      <c r="I16" s="1" t="s">
        <v>30</v>
      </c>
      <c r="J16" s="1" t="s">
        <v>20</v>
      </c>
      <c r="K16" s="2" t="s">
        <v>20</v>
      </c>
      <c r="L16" s="6">
        <v>57</v>
      </c>
      <c r="M16" s="2">
        <v>0</v>
      </c>
      <c r="N16" s="6" t="s">
        <v>31</v>
      </c>
      <c r="O16" s="2" t="s">
        <v>32</v>
      </c>
      <c r="P16" s="8">
        <v>0</v>
      </c>
    </row>
    <row r="17" spans="1:16" x14ac:dyDescent="0.3">
      <c r="A17" s="16"/>
      <c r="B17" s="1">
        <v>16</v>
      </c>
      <c r="C17" s="1" t="s">
        <v>179</v>
      </c>
      <c r="D17" s="1">
        <v>1950670962</v>
      </c>
      <c r="E17" s="1" t="s">
        <v>1020</v>
      </c>
      <c r="F17" s="1" t="s">
        <v>1201</v>
      </c>
      <c r="G17" s="1" t="s">
        <v>17</v>
      </c>
      <c r="H17" s="1" t="s">
        <v>18</v>
      </c>
      <c r="I17" s="1" t="s">
        <v>30</v>
      </c>
      <c r="J17" s="1" t="s">
        <v>20</v>
      </c>
      <c r="K17" s="2" t="s">
        <v>20</v>
      </c>
      <c r="L17" s="6">
        <v>29</v>
      </c>
      <c r="M17" s="2">
        <v>0</v>
      </c>
      <c r="N17" s="6" t="s">
        <v>31</v>
      </c>
      <c r="O17" s="2" t="s">
        <v>32</v>
      </c>
      <c r="P17" s="8">
        <v>0</v>
      </c>
    </row>
    <row r="18" spans="1:16" x14ac:dyDescent="0.3">
      <c r="A18" s="16"/>
      <c r="B18" s="1">
        <v>17</v>
      </c>
      <c r="C18" s="1" t="s">
        <v>14</v>
      </c>
      <c r="D18" s="1">
        <v>55989793</v>
      </c>
      <c r="E18" s="1" t="s">
        <v>44</v>
      </c>
      <c r="F18" s="1" t="s">
        <v>45</v>
      </c>
      <c r="G18" s="1" t="s">
        <v>17</v>
      </c>
      <c r="H18" s="1" t="s">
        <v>18</v>
      </c>
      <c r="I18" s="1" t="s">
        <v>30</v>
      </c>
      <c r="J18" s="1" t="s">
        <v>1015</v>
      </c>
      <c r="K18" s="2" t="s">
        <v>1015</v>
      </c>
      <c r="L18" s="6">
        <v>56</v>
      </c>
      <c r="M18" s="2">
        <v>0</v>
      </c>
      <c r="N18" s="6" t="s">
        <v>31</v>
      </c>
      <c r="O18" s="2" t="s">
        <v>32</v>
      </c>
      <c r="P18" s="8">
        <v>0</v>
      </c>
    </row>
    <row r="19" spans="1:16" x14ac:dyDescent="0.3">
      <c r="A19" s="16"/>
      <c r="B19" s="1">
        <v>18</v>
      </c>
      <c r="C19" s="1" t="s">
        <v>179</v>
      </c>
      <c r="D19" s="1">
        <v>2080077661</v>
      </c>
      <c r="E19" s="1" t="s">
        <v>892</v>
      </c>
      <c r="F19" s="1" t="s">
        <v>893</v>
      </c>
      <c r="G19" s="1" t="s">
        <v>17</v>
      </c>
      <c r="H19" s="1" t="s">
        <v>18</v>
      </c>
      <c r="I19" s="1" t="s">
        <v>30</v>
      </c>
      <c r="J19" s="1" t="s">
        <v>20</v>
      </c>
      <c r="K19" s="2" t="s">
        <v>20</v>
      </c>
      <c r="L19" s="6">
        <v>56</v>
      </c>
      <c r="M19" s="2">
        <v>0</v>
      </c>
      <c r="N19" s="6" t="s">
        <v>31</v>
      </c>
      <c r="O19" s="2" t="s">
        <v>32</v>
      </c>
      <c r="P19" s="8">
        <v>0</v>
      </c>
    </row>
    <row r="20" spans="1:16" x14ac:dyDescent="0.3">
      <c r="A20" s="16"/>
      <c r="B20" s="1">
        <v>19</v>
      </c>
      <c r="C20" s="1" t="s">
        <v>14</v>
      </c>
      <c r="D20" s="1">
        <v>57025341</v>
      </c>
      <c r="E20" s="1" t="s">
        <v>46</v>
      </c>
      <c r="F20" s="1" t="s">
        <v>47</v>
      </c>
      <c r="G20" s="1" t="s">
        <v>17</v>
      </c>
      <c r="H20" s="1" t="s">
        <v>18</v>
      </c>
      <c r="I20" s="1" t="s">
        <v>30</v>
      </c>
      <c r="J20" s="1" t="s">
        <v>1015</v>
      </c>
      <c r="K20" s="2" t="s">
        <v>1015</v>
      </c>
      <c r="L20" s="6">
        <v>27</v>
      </c>
      <c r="M20" s="2">
        <v>0</v>
      </c>
      <c r="N20" s="6" t="s">
        <v>31</v>
      </c>
      <c r="O20" s="2" t="s">
        <v>32</v>
      </c>
      <c r="P20" s="8">
        <v>0</v>
      </c>
    </row>
    <row r="21" spans="1:16" x14ac:dyDescent="0.3">
      <c r="A21" s="16"/>
      <c r="B21" s="1">
        <v>20</v>
      </c>
      <c r="C21" s="1" t="s">
        <v>179</v>
      </c>
      <c r="D21" s="1">
        <v>2080077294</v>
      </c>
      <c r="E21" s="1" t="s">
        <v>894</v>
      </c>
      <c r="F21" s="1" t="s">
        <v>895</v>
      </c>
      <c r="G21" s="1" t="s">
        <v>17</v>
      </c>
      <c r="H21" s="1" t="s">
        <v>25</v>
      </c>
      <c r="I21" s="1" t="s">
        <v>216</v>
      </c>
      <c r="J21" s="1" t="s">
        <v>20</v>
      </c>
      <c r="K21" s="2" t="s">
        <v>20</v>
      </c>
      <c r="L21" s="6">
        <v>31</v>
      </c>
      <c r="M21" s="2">
        <v>1.1200000000000001</v>
      </c>
      <c r="N21" s="6" t="s">
        <v>21</v>
      </c>
      <c r="O21" s="2" t="s">
        <v>22</v>
      </c>
      <c r="P21" s="8">
        <v>31000</v>
      </c>
    </row>
    <row r="22" spans="1:16" x14ac:dyDescent="0.3">
      <c r="A22" s="16"/>
      <c r="B22" s="1">
        <v>21</v>
      </c>
      <c r="C22" s="1" t="s">
        <v>14</v>
      </c>
      <c r="D22" s="1">
        <v>55989018</v>
      </c>
      <c r="E22" s="1" t="s">
        <v>48</v>
      </c>
      <c r="F22" s="1" t="s">
        <v>45</v>
      </c>
      <c r="G22" s="1" t="s">
        <v>17</v>
      </c>
      <c r="H22" s="1" t="s">
        <v>18</v>
      </c>
      <c r="I22" s="1" t="s">
        <v>30</v>
      </c>
      <c r="J22" s="1" t="s">
        <v>1015</v>
      </c>
      <c r="K22" s="2" t="s">
        <v>1015</v>
      </c>
      <c r="L22" s="6">
        <v>60</v>
      </c>
      <c r="M22" s="2">
        <v>0</v>
      </c>
      <c r="N22" s="6" t="s">
        <v>31</v>
      </c>
      <c r="O22" s="2" t="s">
        <v>32</v>
      </c>
      <c r="P22" s="8">
        <v>0</v>
      </c>
    </row>
    <row r="23" spans="1:16" x14ac:dyDescent="0.3">
      <c r="A23" s="16"/>
      <c r="B23" s="1">
        <v>22</v>
      </c>
      <c r="C23" s="1" t="s">
        <v>179</v>
      </c>
      <c r="D23" s="1">
        <v>1950669383</v>
      </c>
      <c r="E23" s="1" t="s">
        <v>1021</v>
      </c>
      <c r="F23" s="1" t="s">
        <v>1202</v>
      </c>
      <c r="G23" s="1" t="s">
        <v>17</v>
      </c>
      <c r="H23" s="1" t="s">
        <v>18</v>
      </c>
      <c r="I23" s="1" t="s">
        <v>30</v>
      </c>
      <c r="J23" s="1" t="s">
        <v>20</v>
      </c>
      <c r="K23" s="2" t="s">
        <v>20</v>
      </c>
      <c r="L23" s="6">
        <v>59</v>
      </c>
      <c r="M23" s="2">
        <v>0</v>
      </c>
      <c r="N23" s="6" t="s">
        <v>31</v>
      </c>
      <c r="O23" s="2" t="s">
        <v>32</v>
      </c>
      <c r="P23" s="8">
        <v>0</v>
      </c>
    </row>
    <row r="24" spans="1:16" x14ac:dyDescent="0.3">
      <c r="A24" s="16"/>
      <c r="B24" s="1">
        <v>23</v>
      </c>
      <c r="C24" s="1" t="s">
        <v>14</v>
      </c>
      <c r="D24" s="1">
        <v>55971544</v>
      </c>
      <c r="E24" s="1" t="s">
        <v>49</v>
      </c>
      <c r="F24" s="1" t="s">
        <v>50</v>
      </c>
      <c r="G24" s="1" t="s">
        <v>17</v>
      </c>
      <c r="H24" s="1" t="s">
        <v>18</v>
      </c>
      <c r="I24" s="1" t="s">
        <v>30</v>
      </c>
      <c r="J24" s="1" t="s">
        <v>1015</v>
      </c>
      <c r="K24" s="2" t="s">
        <v>1015</v>
      </c>
      <c r="L24" s="6">
        <v>78</v>
      </c>
      <c r="M24" s="2">
        <v>0</v>
      </c>
      <c r="N24" s="6" t="s">
        <v>31</v>
      </c>
      <c r="O24" s="2" t="s">
        <v>32</v>
      </c>
      <c r="P24" s="8">
        <v>0</v>
      </c>
    </row>
    <row r="25" spans="1:16" x14ac:dyDescent="0.3">
      <c r="A25" s="16"/>
      <c r="B25" s="1">
        <v>24</v>
      </c>
      <c r="C25" s="1" t="s">
        <v>179</v>
      </c>
      <c r="D25" s="1">
        <v>2080980959</v>
      </c>
      <c r="E25" s="1" t="s">
        <v>896</v>
      </c>
      <c r="F25" s="1" t="s">
        <v>897</v>
      </c>
      <c r="G25" s="1" t="s">
        <v>88</v>
      </c>
      <c r="H25" s="1" t="s">
        <v>18</v>
      </c>
      <c r="I25" s="1" t="s">
        <v>30</v>
      </c>
      <c r="J25" s="1" t="s">
        <v>20</v>
      </c>
      <c r="K25" s="2" t="s">
        <v>20</v>
      </c>
      <c r="L25" s="6">
        <v>40</v>
      </c>
      <c r="M25" s="2">
        <v>0</v>
      </c>
      <c r="N25" s="6" t="s">
        <v>31</v>
      </c>
      <c r="O25" s="2" t="s">
        <v>32</v>
      </c>
      <c r="P25" s="8">
        <v>0</v>
      </c>
    </row>
    <row r="26" spans="1:16" x14ac:dyDescent="0.3">
      <c r="A26" s="16"/>
      <c r="B26" s="1">
        <v>25</v>
      </c>
      <c r="C26" s="1" t="s">
        <v>14</v>
      </c>
      <c r="D26" s="1">
        <v>57012625</v>
      </c>
      <c r="E26" s="1" t="s">
        <v>51</v>
      </c>
      <c r="F26" s="1" t="s">
        <v>52</v>
      </c>
      <c r="G26" s="1" t="s">
        <v>17</v>
      </c>
      <c r="H26" s="1" t="s">
        <v>18</v>
      </c>
      <c r="I26" s="1" t="s">
        <v>30</v>
      </c>
      <c r="J26" s="1" t="s">
        <v>1015</v>
      </c>
      <c r="K26" s="2" t="s">
        <v>1015</v>
      </c>
      <c r="L26" s="6">
        <v>81</v>
      </c>
      <c r="M26" s="2">
        <v>0</v>
      </c>
      <c r="N26" s="6" t="s">
        <v>31</v>
      </c>
      <c r="O26" s="2" t="s">
        <v>32</v>
      </c>
      <c r="P26" s="8">
        <v>0</v>
      </c>
    </row>
    <row r="27" spans="1:16" x14ac:dyDescent="0.3">
      <c r="A27" s="16"/>
      <c r="B27" s="1">
        <v>26</v>
      </c>
      <c r="C27" s="1" t="s">
        <v>179</v>
      </c>
      <c r="D27" s="1">
        <v>2080080229</v>
      </c>
      <c r="E27" s="1" t="s">
        <v>898</v>
      </c>
      <c r="F27" s="1" t="s">
        <v>899</v>
      </c>
      <c r="G27" s="1" t="s">
        <v>17</v>
      </c>
      <c r="H27" s="1" t="s">
        <v>25</v>
      </c>
      <c r="I27" s="1" t="s">
        <v>184</v>
      </c>
      <c r="J27" s="1" t="s">
        <v>20</v>
      </c>
      <c r="K27" s="2" t="s">
        <v>20</v>
      </c>
      <c r="L27" s="6">
        <v>47</v>
      </c>
      <c r="M27" s="2">
        <v>0.52</v>
      </c>
      <c r="N27" s="6" t="s">
        <v>21</v>
      </c>
      <c r="O27" s="2" t="s">
        <v>22</v>
      </c>
      <c r="P27" s="8">
        <v>15000</v>
      </c>
    </row>
    <row r="28" spans="1:16" x14ac:dyDescent="0.3">
      <c r="A28" s="16"/>
      <c r="B28" s="1">
        <v>27</v>
      </c>
      <c r="C28" s="1" t="s">
        <v>14</v>
      </c>
      <c r="D28" s="1">
        <v>55998641</v>
      </c>
      <c r="E28" s="1" t="s">
        <v>1022</v>
      </c>
      <c r="F28" s="1" t="s">
        <v>1203</v>
      </c>
      <c r="G28" s="1" t="s">
        <v>17</v>
      </c>
      <c r="H28" s="1" t="s">
        <v>18</v>
      </c>
      <c r="I28" s="1" t="s">
        <v>30</v>
      </c>
      <c r="J28" s="1" t="s">
        <v>20</v>
      </c>
      <c r="K28" s="2" t="s">
        <v>20</v>
      </c>
      <c r="L28" s="6">
        <v>57</v>
      </c>
      <c r="M28" s="2">
        <v>0</v>
      </c>
      <c r="N28" s="6" t="s">
        <v>31</v>
      </c>
      <c r="O28" s="2" t="s">
        <v>32</v>
      </c>
      <c r="P28" s="8">
        <v>0</v>
      </c>
    </row>
    <row r="29" spans="1:16" x14ac:dyDescent="0.3">
      <c r="A29" s="16"/>
      <c r="B29" s="1">
        <v>28</v>
      </c>
      <c r="C29" s="1" t="s">
        <v>179</v>
      </c>
      <c r="D29" s="1">
        <v>1950671020</v>
      </c>
      <c r="E29" s="1" t="s">
        <v>1023</v>
      </c>
      <c r="F29" s="1" t="s">
        <v>1204</v>
      </c>
      <c r="G29" s="1" t="s">
        <v>17</v>
      </c>
      <c r="H29" s="1" t="s">
        <v>18</v>
      </c>
      <c r="I29" s="1" t="s">
        <v>30</v>
      </c>
      <c r="J29" s="1" t="s">
        <v>20</v>
      </c>
      <c r="K29" s="2" t="s">
        <v>20</v>
      </c>
      <c r="L29" s="6">
        <v>61</v>
      </c>
      <c r="M29" s="2">
        <v>0</v>
      </c>
      <c r="N29" s="6" t="s">
        <v>31</v>
      </c>
      <c r="O29" s="2" t="s">
        <v>32</v>
      </c>
      <c r="P29" s="8">
        <v>0</v>
      </c>
    </row>
    <row r="30" spans="1:16" x14ac:dyDescent="0.3">
      <c r="A30" s="16"/>
      <c r="B30" s="1">
        <v>29</v>
      </c>
      <c r="C30" s="1" t="s">
        <v>14</v>
      </c>
      <c r="D30" s="1">
        <v>57029974</v>
      </c>
      <c r="E30" s="1" t="s">
        <v>53</v>
      </c>
      <c r="F30" s="1" t="s">
        <v>54</v>
      </c>
      <c r="G30" s="1" t="s">
        <v>17</v>
      </c>
      <c r="H30" s="1" t="s">
        <v>18</v>
      </c>
      <c r="I30" s="1" t="s">
        <v>30</v>
      </c>
      <c r="J30" s="1" t="s">
        <v>1015</v>
      </c>
      <c r="K30" s="2" t="s">
        <v>1015</v>
      </c>
      <c r="L30" s="6">
        <v>78</v>
      </c>
      <c r="M30" s="2">
        <v>0</v>
      </c>
      <c r="N30" s="6" t="s">
        <v>31</v>
      </c>
      <c r="O30" s="2" t="s">
        <v>32</v>
      </c>
      <c r="P30" s="8">
        <v>0</v>
      </c>
    </row>
    <row r="31" spans="1:16" x14ac:dyDescent="0.3">
      <c r="A31" s="16"/>
      <c r="B31" s="1">
        <v>30</v>
      </c>
      <c r="C31" s="1" t="s">
        <v>179</v>
      </c>
      <c r="D31" s="1">
        <v>1950673956</v>
      </c>
      <c r="E31" s="1" t="s">
        <v>1024</v>
      </c>
      <c r="F31" s="1" t="s">
        <v>1205</v>
      </c>
      <c r="G31" s="1" t="s">
        <v>17</v>
      </c>
      <c r="H31" s="1" t="s">
        <v>25</v>
      </c>
      <c r="I31" s="1" t="s">
        <v>216</v>
      </c>
      <c r="J31" s="1" t="s">
        <v>20</v>
      </c>
      <c r="K31" s="2" t="s">
        <v>1015</v>
      </c>
      <c r="L31" s="6">
        <v>36</v>
      </c>
      <c r="M31" s="2">
        <v>1.23</v>
      </c>
      <c r="N31" s="6" t="s">
        <v>21</v>
      </c>
      <c r="O31" s="2" t="s">
        <v>22</v>
      </c>
      <c r="P31" s="8">
        <v>31000</v>
      </c>
    </row>
    <row r="32" spans="1:16" x14ac:dyDescent="0.3">
      <c r="A32" s="16"/>
      <c r="B32" s="1">
        <v>31</v>
      </c>
      <c r="C32" s="1" t="s">
        <v>14</v>
      </c>
      <c r="D32" s="1">
        <v>55979705</v>
      </c>
      <c r="E32" s="1" t="s">
        <v>1025</v>
      </c>
      <c r="F32" s="1" t="s">
        <v>596</v>
      </c>
      <c r="G32" s="1" t="s">
        <v>17</v>
      </c>
      <c r="H32" s="1" t="s">
        <v>18</v>
      </c>
      <c r="I32" s="1" t="s">
        <v>19</v>
      </c>
      <c r="J32" s="1" t="s">
        <v>20</v>
      </c>
      <c r="K32" s="2" t="s">
        <v>20</v>
      </c>
      <c r="L32" s="6">
        <v>55</v>
      </c>
      <c r="M32" s="2">
        <v>3</v>
      </c>
      <c r="N32" s="6" t="s">
        <v>36</v>
      </c>
      <c r="O32" s="2" t="s">
        <v>22</v>
      </c>
      <c r="P32" s="8">
        <v>116000</v>
      </c>
    </row>
    <row r="33" spans="1:16" x14ac:dyDescent="0.3">
      <c r="A33" s="16"/>
      <c r="B33" s="1">
        <v>32</v>
      </c>
      <c r="C33" s="1" t="s">
        <v>179</v>
      </c>
      <c r="D33" s="1">
        <v>2080078207</v>
      </c>
      <c r="E33" s="1" t="s">
        <v>900</v>
      </c>
      <c r="F33" s="1" t="s">
        <v>901</v>
      </c>
      <c r="G33" s="1" t="s">
        <v>17</v>
      </c>
      <c r="H33" s="1" t="s">
        <v>25</v>
      </c>
      <c r="I33" s="1" t="s">
        <v>216</v>
      </c>
      <c r="J33" s="1" t="s">
        <v>20</v>
      </c>
      <c r="K33" s="2" t="s">
        <v>20</v>
      </c>
      <c r="L33" s="6">
        <v>33</v>
      </c>
      <c r="M33" s="2">
        <v>0.16</v>
      </c>
      <c r="N33" s="6" t="s">
        <v>21</v>
      </c>
      <c r="O33" s="2" t="s">
        <v>22</v>
      </c>
      <c r="P33" s="8">
        <v>9000</v>
      </c>
    </row>
    <row r="34" spans="1:16" x14ac:dyDescent="0.3">
      <c r="A34" s="16"/>
      <c r="B34" s="1">
        <v>33</v>
      </c>
      <c r="C34" s="1" t="s">
        <v>14</v>
      </c>
      <c r="D34" s="1">
        <v>56018711</v>
      </c>
      <c r="E34" s="1" t="s">
        <v>1026</v>
      </c>
      <c r="F34" s="1" t="s">
        <v>893</v>
      </c>
      <c r="G34" s="1" t="s">
        <v>17</v>
      </c>
      <c r="H34" s="1" t="s">
        <v>18</v>
      </c>
      <c r="I34" s="1" t="s">
        <v>19</v>
      </c>
      <c r="J34" s="1" t="s">
        <v>20</v>
      </c>
      <c r="K34" s="2" t="s">
        <v>20</v>
      </c>
      <c r="L34" s="6">
        <v>66</v>
      </c>
      <c r="M34" s="2">
        <v>0.87</v>
      </c>
      <c r="N34" s="6" t="s">
        <v>21</v>
      </c>
      <c r="O34" s="2" t="s">
        <v>55</v>
      </c>
      <c r="P34" s="8">
        <v>30000</v>
      </c>
    </row>
    <row r="35" spans="1:16" x14ac:dyDescent="0.3">
      <c r="A35" s="16"/>
      <c r="B35" s="1">
        <v>34</v>
      </c>
      <c r="C35" s="1" t="s">
        <v>179</v>
      </c>
      <c r="D35" s="1">
        <v>2080078740</v>
      </c>
      <c r="E35" s="1" t="s">
        <v>902</v>
      </c>
      <c r="F35" s="1" t="s">
        <v>903</v>
      </c>
      <c r="G35" s="1" t="s">
        <v>17</v>
      </c>
      <c r="H35" s="1" t="s">
        <v>18</v>
      </c>
      <c r="I35" s="1" t="s">
        <v>19</v>
      </c>
      <c r="J35" s="1" t="s">
        <v>20</v>
      </c>
      <c r="K35" s="2" t="s">
        <v>20</v>
      </c>
      <c r="L35" s="6">
        <v>35</v>
      </c>
      <c r="M35" s="2">
        <v>4.17</v>
      </c>
      <c r="N35" s="6" t="s">
        <v>21</v>
      </c>
      <c r="O35" s="2" t="s">
        <v>74</v>
      </c>
      <c r="P35" s="8">
        <v>369000</v>
      </c>
    </row>
    <row r="36" spans="1:16" x14ac:dyDescent="0.3">
      <c r="A36" s="16"/>
      <c r="B36" s="1">
        <v>35</v>
      </c>
      <c r="C36" s="1" t="s">
        <v>14</v>
      </c>
      <c r="D36" s="1">
        <v>57011285</v>
      </c>
      <c r="E36" s="1" t="s">
        <v>29</v>
      </c>
      <c r="F36" s="1" t="s">
        <v>1206</v>
      </c>
      <c r="G36" s="1" t="s">
        <v>17</v>
      </c>
      <c r="H36" s="1" t="s">
        <v>18</v>
      </c>
      <c r="I36" s="1" t="s">
        <v>30</v>
      </c>
      <c r="J36" s="1" t="s">
        <v>20</v>
      </c>
      <c r="K36" s="2" t="s">
        <v>20</v>
      </c>
      <c r="L36" s="6">
        <v>63</v>
      </c>
      <c r="M36" s="2">
        <v>0</v>
      </c>
      <c r="N36" s="6" t="s">
        <v>31</v>
      </c>
      <c r="O36" s="2" t="s">
        <v>32</v>
      </c>
      <c r="P36" s="8">
        <v>0</v>
      </c>
    </row>
    <row r="37" spans="1:16" x14ac:dyDescent="0.3">
      <c r="A37" s="16"/>
      <c r="B37" s="1">
        <v>36</v>
      </c>
      <c r="C37" s="1" t="s">
        <v>179</v>
      </c>
      <c r="D37" s="1">
        <v>1950689011</v>
      </c>
      <c r="E37" s="1" t="s">
        <v>1027</v>
      </c>
      <c r="F37" s="1" t="s">
        <v>1207</v>
      </c>
      <c r="G37" s="1" t="s">
        <v>17</v>
      </c>
      <c r="H37" s="1" t="s">
        <v>18</v>
      </c>
      <c r="I37" s="1" t="s">
        <v>30</v>
      </c>
      <c r="J37" s="1" t="s">
        <v>20</v>
      </c>
      <c r="K37" s="2" t="s">
        <v>20</v>
      </c>
      <c r="L37" s="6">
        <v>39</v>
      </c>
      <c r="M37" s="2">
        <v>0</v>
      </c>
      <c r="N37" s="6" t="s">
        <v>31</v>
      </c>
      <c r="O37" s="2" t="s">
        <v>32</v>
      </c>
      <c r="P37" s="8">
        <v>0</v>
      </c>
    </row>
    <row r="38" spans="1:16" x14ac:dyDescent="0.3">
      <c r="A38" s="16"/>
      <c r="B38" s="1">
        <v>37</v>
      </c>
      <c r="C38" s="1" t="s">
        <v>14</v>
      </c>
      <c r="D38" s="1">
        <v>56016580</v>
      </c>
      <c r="E38" s="1" t="s">
        <v>56</v>
      </c>
      <c r="F38" s="1" t="s">
        <v>57</v>
      </c>
      <c r="G38" s="1" t="s">
        <v>17</v>
      </c>
      <c r="H38" s="1" t="s">
        <v>18</v>
      </c>
      <c r="I38" s="1" t="s">
        <v>19</v>
      </c>
      <c r="J38" s="1" t="s">
        <v>1015</v>
      </c>
      <c r="K38" s="2" t="s">
        <v>1015</v>
      </c>
      <c r="L38" s="6">
        <v>46</v>
      </c>
      <c r="M38" s="2">
        <v>0.21</v>
      </c>
      <c r="N38" s="6" t="s">
        <v>58</v>
      </c>
      <c r="O38" s="2" t="s">
        <v>59</v>
      </c>
      <c r="P38" s="8">
        <v>8000</v>
      </c>
    </row>
    <row r="39" spans="1:16" x14ac:dyDescent="0.3">
      <c r="A39" s="16"/>
      <c r="B39" s="1">
        <v>38</v>
      </c>
      <c r="C39" s="1" t="s">
        <v>179</v>
      </c>
      <c r="D39" s="1">
        <v>1950670555</v>
      </c>
      <c r="E39" s="1" t="s">
        <v>1028</v>
      </c>
      <c r="F39" s="1" t="s">
        <v>991</v>
      </c>
      <c r="G39" s="1" t="s">
        <v>17</v>
      </c>
      <c r="H39" s="1" t="s">
        <v>18</v>
      </c>
      <c r="I39" s="1" t="s">
        <v>30</v>
      </c>
      <c r="J39" s="1" t="s">
        <v>20</v>
      </c>
      <c r="K39" s="2" t="s">
        <v>20</v>
      </c>
      <c r="L39" s="6">
        <v>67</v>
      </c>
      <c r="M39" s="2">
        <v>0</v>
      </c>
      <c r="N39" s="6" t="s">
        <v>31</v>
      </c>
      <c r="O39" s="2" t="s">
        <v>32</v>
      </c>
      <c r="P39" s="8">
        <v>0</v>
      </c>
    </row>
    <row r="40" spans="1:16" x14ac:dyDescent="0.3">
      <c r="A40" s="16"/>
      <c r="B40" s="1">
        <v>39</v>
      </c>
      <c r="C40" s="1" t="s">
        <v>14</v>
      </c>
      <c r="D40" s="1">
        <v>57018590</v>
      </c>
      <c r="E40" s="1" t="s">
        <v>1029</v>
      </c>
      <c r="F40" s="1" t="s">
        <v>1208</v>
      </c>
      <c r="G40" s="1" t="s">
        <v>17</v>
      </c>
      <c r="H40" s="1" t="s">
        <v>25</v>
      </c>
      <c r="I40" s="1" t="s">
        <v>26</v>
      </c>
      <c r="J40" s="1" t="s">
        <v>20</v>
      </c>
      <c r="K40" s="2" t="s">
        <v>20</v>
      </c>
      <c r="L40" s="6">
        <v>60</v>
      </c>
      <c r="M40" s="2">
        <v>1.44</v>
      </c>
      <c r="N40" s="6" t="s">
        <v>21</v>
      </c>
      <c r="O40" s="2" t="s">
        <v>55</v>
      </c>
      <c r="P40" s="8">
        <v>42000</v>
      </c>
    </row>
    <row r="41" spans="1:16" x14ac:dyDescent="0.3">
      <c r="A41" s="16"/>
      <c r="B41" s="1">
        <v>40</v>
      </c>
      <c r="C41" s="1" t="s">
        <v>179</v>
      </c>
      <c r="D41" s="1">
        <v>1950670500</v>
      </c>
      <c r="E41" s="1" t="s">
        <v>1030</v>
      </c>
      <c r="F41" s="1" t="s">
        <v>350</v>
      </c>
      <c r="G41" s="1" t="s">
        <v>17</v>
      </c>
      <c r="H41" s="1" t="s">
        <v>18</v>
      </c>
      <c r="I41" s="1" t="s">
        <v>30</v>
      </c>
      <c r="J41" s="1" t="s">
        <v>20</v>
      </c>
      <c r="K41" s="2" t="s">
        <v>20</v>
      </c>
      <c r="L41" s="6">
        <v>75</v>
      </c>
      <c r="M41" s="2">
        <v>0</v>
      </c>
      <c r="N41" s="6" t="s">
        <v>31</v>
      </c>
      <c r="O41" s="2" t="s">
        <v>32</v>
      </c>
      <c r="P41" s="8">
        <v>0</v>
      </c>
    </row>
    <row r="42" spans="1:16" x14ac:dyDescent="0.3">
      <c r="A42" s="16"/>
      <c r="B42" s="1">
        <v>41</v>
      </c>
      <c r="C42" s="1" t="s">
        <v>14</v>
      </c>
      <c r="D42" s="1">
        <v>55990946</v>
      </c>
      <c r="E42" s="1" t="s">
        <v>1031</v>
      </c>
      <c r="F42" s="1" t="s">
        <v>1209</v>
      </c>
      <c r="G42" s="1" t="s">
        <v>17</v>
      </c>
      <c r="H42" s="1" t="s">
        <v>18</v>
      </c>
      <c r="I42" s="1" t="s">
        <v>30</v>
      </c>
      <c r="J42" s="1" t="s">
        <v>20</v>
      </c>
      <c r="K42" s="2" t="s">
        <v>20</v>
      </c>
      <c r="L42" s="6">
        <v>70</v>
      </c>
      <c r="M42" s="2">
        <v>0</v>
      </c>
      <c r="N42" s="6" t="s">
        <v>31</v>
      </c>
      <c r="O42" s="2" t="s">
        <v>32</v>
      </c>
      <c r="P42" s="8">
        <v>0</v>
      </c>
    </row>
    <row r="43" spans="1:16" x14ac:dyDescent="0.3">
      <c r="A43" s="16"/>
      <c r="B43" s="1">
        <v>42</v>
      </c>
      <c r="C43" s="1" t="s">
        <v>179</v>
      </c>
      <c r="D43" s="1">
        <v>2081000850</v>
      </c>
      <c r="E43" s="1" t="s">
        <v>904</v>
      </c>
      <c r="F43" s="1" t="s">
        <v>905</v>
      </c>
      <c r="G43" s="1" t="s">
        <v>17</v>
      </c>
      <c r="H43" s="1" t="s">
        <v>18</v>
      </c>
      <c r="I43" s="1" t="s">
        <v>19</v>
      </c>
      <c r="J43" s="1" t="s">
        <v>20</v>
      </c>
      <c r="K43" s="2" t="s">
        <v>20</v>
      </c>
      <c r="L43" s="6">
        <v>29</v>
      </c>
      <c r="M43" s="2">
        <v>0.92</v>
      </c>
      <c r="N43" s="6" t="s">
        <v>21</v>
      </c>
      <c r="O43" s="2" t="s">
        <v>22</v>
      </c>
      <c r="P43" s="8">
        <v>48000</v>
      </c>
    </row>
    <row r="44" spans="1:16" x14ac:dyDescent="0.3">
      <c r="A44" s="16"/>
      <c r="B44" s="1">
        <v>43</v>
      </c>
      <c r="C44" s="1" t="s">
        <v>14</v>
      </c>
      <c r="D44" s="1">
        <v>56018089</v>
      </c>
      <c r="E44" s="1" t="s">
        <v>60</v>
      </c>
      <c r="F44" s="1" t="s">
        <v>61</v>
      </c>
      <c r="G44" s="1" t="s">
        <v>17</v>
      </c>
      <c r="H44" s="1" t="s">
        <v>18</v>
      </c>
      <c r="I44" s="1" t="s">
        <v>19</v>
      </c>
      <c r="J44" s="1" t="s">
        <v>1015</v>
      </c>
      <c r="K44" s="2" t="s">
        <v>1015</v>
      </c>
      <c r="L44" s="6">
        <v>60</v>
      </c>
      <c r="M44" s="2">
        <v>0.25</v>
      </c>
      <c r="N44" s="6" t="s">
        <v>58</v>
      </c>
      <c r="O44" s="2" t="s">
        <v>22</v>
      </c>
      <c r="P44" s="8">
        <v>10000</v>
      </c>
    </row>
    <row r="45" spans="1:16" x14ac:dyDescent="0.3">
      <c r="A45" s="16"/>
      <c r="B45" s="1">
        <v>44</v>
      </c>
      <c r="C45" s="1" t="s">
        <v>179</v>
      </c>
      <c r="D45" s="1">
        <v>2080979938</v>
      </c>
      <c r="E45" s="1" t="s">
        <v>906</v>
      </c>
      <c r="F45" s="1" t="s">
        <v>1210</v>
      </c>
      <c r="G45" s="1" t="s">
        <v>88</v>
      </c>
      <c r="H45" s="1" t="s">
        <v>18</v>
      </c>
      <c r="I45" s="1" t="s">
        <v>120</v>
      </c>
      <c r="J45" s="1" t="s">
        <v>1015</v>
      </c>
      <c r="K45" s="2" t="s">
        <v>1015</v>
      </c>
      <c r="L45" s="6">
        <v>82</v>
      </c>
      <c r="M45" s="2">
        <v>1.23</v>
      </c>
      <c r="N45" s="6" t="s">
        <v>36</v>
      </c>
      <c r="O45" s="2" t="s">
        <v>22</v>
      </c>
      <c r="P45" s="8">
        <v>68000</v>
      </c>
    </row>
    <row r="46" spans="1:16" x14ac:dyDescent="0.3">
      <c r="A46" s="16"/>
      <c r="B46" s="1">
        <v>45</v>
      </c>
      <c r="C46" s="1" t="s">
        <v>14</v>
      </c>
      <c r="D46" s="1">
        <v>56024657</v>
      </c>
      <c r="E46" s="1" t="s">
        <v>62</v>
      </c>
      <c r="F46" s="1" t="s">
        <v>63</v>
      </c>
      <c r="G46" s="1" t="s">
        <v>17</v>
      </c>
      <c r="H46" s="1" t="s">
        <v>18</v>
      </c>
      <c r="I46" s="1" t="s">
        <v>30</v>
      </c>
      <c r="J46" s="1" t="s">
        <v>20</v>
      </c>
      <c r="K46" s="2" t="s">
        <v>20</v>
      </c>
      <c r="L46" s="6">
        <v>74</v>
      </c>
      <c r="M46" s="2">
        <v>0</v>
      </c>
      <c r="N46" s="6" t="s">
        <v>31</v>
      </c>
      <c r="O46" s="2" t="s">
        <v>32</v>
      </c>
      <c r="P46" s="8">
        <v>0</v>
      </c>
    </row>
    <row r="47" spans="1:16" x14ac:dyDescent="0.3">
      <c r="A47" s="16"/>
      <c r="B47" s="1">
        <v>46</v>
      </c>
      <c r="C47" s="1" t="s">
        <v>179</v>
      </c>
      <c r="D47" s="1">
        <v>1950680817</v>
      </c>
      <c r="E47" s="1" t="s">
        <v>1032</v>
      </c>
      <c r="F47" s="1" t="s">
        <v>998</v>
      </c>
      <c r="G47" s="1" t="s">
        <v>17</v>
      </c>
      <c r="H47" s="1" t="s">
        <v>18</v>
      </c>
      <c r="I47" s="1" t="s">
        <v>30</v>
      </c>
      <c r="J47" s="1" t="s">
        <v>20</v>
      </c>
      <c r="K47" s="2" t="s">
        <v>20</v>
      </c>
      <c r="L47" s="6">
        <v>59</v>
      </c>
      <c r="M47" s="2">
        <v>0</v>
      </c>
      <c r="N47" s="6" t="s">
        <v>31</v>
      </c>
      <c r="O47" s="2" t="s">
        <v>32</v>
      </c>
      <c r="P47" s="8">
        <v>0</v>
      </c>
    </row>
    <row r="48" spans="1:16" x14ac:dyDescent="0.3">
      <c r="A48" s="16"/>
      <c r="B48" s="1">
        <v>47</v>
      </c>
      <c r="C48" s="1" t="s">
        <v>14</v>
      </c>
      <c r="D48" s="1">
        <v>55986427</v>
      </c>
      <c r="E48" s="1" t="s">
        <v>1033</v>
      </c>
      <c r="F48" s="1" t="s">
        <v>1211</v>
      </c>
      <c r="G48" s="1" t="s">
        <v>17</v>
      </c>
      <c r="H48" s="1" t="s">
        <v>18</v>
      </c>
      <c r="I48" s="1" t="s">
        <v>19</v>
      </c>
      <c r="J48" s="1" t="s">
        <v>20</v>
      </c>
      <c r="K48" s="2" t="s">
        <v>20</v>
      </c>
      <c r="L48" s="6">
        <v>53</v>
      </c>
      <c r="M48" s="2">
        <v>4.5199999999999996</v>
      </c>
      <c r="N48" s="6" t="s">
        <v>21</v>
      </c>
      <c r="O48" s="2" t="s">
        <v>55</v>
      </c>
      <c r="P48" s="8">
        <v>96000</v>
      </c>
    </row>
    <row r="49" spans="1:16" x14ac:dyDescent="0.3">
      <c r="A49" s="16"/>
      <c r="B49" s="1">
        <v>48</v>
      </c>
      <c r="C49" s="1" t="s">
        <v>179</v>
      </c>
      <c r="D49" s="1">
        <v>2080078514</v>
      </c>
      <c r="E49" s="1" t="s">
        <v>907</v>
      </c>
      <c r="F49" s="1" t="s">
        <v>908</v>
      </c>
      <c r="G49" s="1" t="s">
        <v>17</v>
      </c>
      <c r="H49" s="1" t="s">
        <v>25</v>
      </c>
      <c r="I49" s="1" t="s">
        <v>216</v>
      </c>
      <c r="J49" s="1" t="s">
        <v>20</v>
      </c>
      <c r="K49" s="2" t="s">
        <v>20</v>
      </c>
      <c r="L49" s="6">
        <v>70</v>
      </c>
      <c r="M49" s="2">
        <v>0.37</v>
      </c>
      <c r="N49" s="6" t="s">
        <v>21</v>
      </c>
      <c r="O49" s="2" t="s">
        <v>74</v>
      </c>
      <c r="P49" s="8">
        <v>23000</v>
      </c>
    </row>
    <row r="50" spans="1:16" x14ac:dyDescent="0.3">
      <c r="A50" s="16"/>
      <c r="B50" s="1">
        <v>49</v>
      </c>
      <c r="C50" s="1" t="s">
        <v>14</v>
      </c>
      <c r="D50" s="1">
        <v>56007687</v>
      </c>
      <c r="E50" s="1" t="s">
        <v>64</v>
      </c>
      <c r="F50" s="1" t="s">
        <v>40</v>
      </c>
      <c r="G50" s="1" t="s">
        <v>17</v>
      </c>
      <c r="H50" s="1" t="s">
        <v>18</v>
      </c>
      <c r="I50" s="1" t="s">
        <v>19</v>
      </c>
      <c r="J50" s="1" t="s">
        <v>1015</v>
      </c>
      <c r="K50" s="2" t="s">
        <v>1015</v>
      </c>
      <c r="L50" s="6">
        <v>28</v>
      </c>
      <c r="M50" s="2">
        <v>4.34</v>
      </c>
      <c r="N50" s="6" t="s">
        <v>58</v>
      </c>
      <c r="O50" s="2" t="s">
        <v>59</v>
      </c>
      <c r="P50" s="8">
        <v>144000</v>
      </c>
    </row>
    <row r="51" spans="1:16" x14ac:dyDescent="0.3">
      <c r="A51" s="16"/>
      <c r="B51" s="1">
        <v>50</v>
      </c>
      <c r="C51" s="1" t="s">
        <v>179</v>
      </c>
      <c r="D51" s="1">
        <v>2080080557</v>
      </c>
      <c r="E51" s="1" t="s">
        <v>909</v>
      </c>
      <c r="F51" s="1" t="s">
        <v>910</v>
      </c>
      <c r="G51" s="1" t="s">
        <v>17</v>
      </c>
      <c r="H51" s="1" t="s">
        <v>18</v>
      </c>
      <c r="I51" s="1" t="s">
        <v>19</v>
      </c>
      <c r="J51" s="1" t="s">
        <v>20</v>
      </c>
      <c r="K51" s="2" t="s">
        <v>20</v>
      </c>
      <c r="L51" s="6">
        <v>42</v>
      </c>
      <c r="M51" s="2">
        <v>1.6</v>
      </c>
      <c r="N51" s="6" t="s">
        <v>58</v>
      </c>
      <c r="O51" s="2" t="s">
        <v>41</v>
      </c>
      <c r="P51" s="8">
        <v>45000</v>
      </c>
    </row>
    <row r="52" spans="1:16" x14ac:dyDescent="0.3">
      <c r="A52" s="16"/>
      <c r="B52" s="1">
        <v>51</v>
      </c>
      <c r="C52" s="1" t="s">
        <v>14</v>
      </c>
      <c r="D52" s="1">
        <v>56021683</v>
      </c>
      <c r="E52" s="1" t="s">
        <v>65</v>
      </c>
      <c r="F52" s="1" t="s">
        <v>66</v>
      </c>
      <c r="G52" s="1" t="s">
        <v>17</v>
      </c>
      <c r="H52" s="1" t="s">
        <v>18</v>
      </c>
      <c r="I52" s="1" t="s">
        <v>30</v>
      </c>
      <c r="J52" s="1" t="s">
        <v>1015</v>
      </c>
      <c r="K52" s="2" t="s">
        <v>1015</v>
      </c>
      <c r="L52" s="6">
        <v>62</v>
      </c>
      <c r="M52" s="2">
        <v>0</v>
      </c>
      <c r="N52" s="6" t="s">
        <v>31</v>
      </c>
      <c r="O52" s="2" t="s">
        <v>32</v>
      </c>
      <c r="P52" s="8">
        <v>0</v>
      </c>
    </row>
    <row r="53" spans="1:16" x14ac:dyDescent="0.3">
      <c r="A53" s="16"/>
      <c r="B53" s="1">
        <v>52</v>
      </c>
      <c r="C53" s="1" t="s">
        <v>179</v>
      </c>
      <c r="D53" s="1">
        <v>2080980008</v>
      </c>
      <c r="E53" s="1" t="s">
        <v>911</v>
      </c>
      <c r="F53" s="1" t="s">
        <v>823</v>
      </c>
      <c r="G53" s="1" t="s">
        <v>17</v>
      </c>
      <c r="H53" s="1" t="s">
        <v>18</v>
      </c>
      <c r="I53" s="1" t="s">
        <v>30</v>
      </c>
      <c r="J53" s="1" t="s">
        <v>20</v>
      </c>
      <c r="K53" s="2" t="s">
        <v>20</v>
      </c>
      <c r="L53" s="6">
        <v>40</v>
      </c>
      <c r="M53" s="2">
        <v>0</v>
      </c>
      <c r="N53" s="6" t="s">
        <v>31</v>
      </c>
      <c r="O53" s="2" t="s">
        <v>32</v>
      </c>
      <c r="P53" s="8">
        <v>0</v>
      </c>
    </row>
    <row r="54" spans="1:16" x14ac:dyDescent="0.3">
      <c r="A54" s="16"/>
      <c r="B54" s="1">
        <v>53</v>
      </c>
      <c r="C54" s="1" t="s">
        <v>14</v>
      </c>
      <c r="D54" s="1">
        <v>56015170</v>
      </c>
      <c r="E54" s="1" t="s">
        <v>67</v>
      </c>
      <c r="F54" s="1" t="s">
        <v>68</v>
      </c>
      <c r="G54" s="1" t="s">
        <v>17</v>
      </c>
      <c r="H54" s="1" t="s">
        <v>18</v>
      </c>
      <c r="I54" s="1" t="s">
        <v>30</v>
      </c>
      <c r="J54" s="1" t="s">
        <v>1015</v>
      </c>
      <c r="K54" s="2" t="s">
        <v>1015</v>
      </c>
      <c r="L54" s="6">
        <v>37</v>
      </c>
      <c r="M54" s="2">
        <v>0</v>
      </c>
      <c r="N54" s="6" t="s">
        <v>31</v>
      </c>
      <c r="O54" s="2" t="s">
        <v>32</v>
      </c>
      <c r="P54" s="8">
        <v>0</v>
      </c>
    </row>
    <row r="55" spans="1:16" x14ac:dyDescent="0.3">
      <c r="A55" s="16"/>
      <c r="B55" s="1">
        <v>54</v>
      </c>
      <c r="C55" s="1" t="s">
        <v>179</v>
      </c>
      <c r="D55" s="1">
        <v>2080080858</v>
      </c>
      <c r="E55" s="1" t="s">
        <v>912</v>
      </c>
      <c r="F55" s="1" t="s">
        <v>913</v>
      </c>
      <c r="G55" s="1" t="s">
        <v>88</v>
      </c>
      <c r="H55" s="1" t="s">
        <v>18</v>
      </c>
      <c r="I55" s="1" t="s">
        <v>120</v>
      </c>
      <c r="J55" s="1" t="s">
        <v>20</v>
      </c>
      <c r="K55" s="2" t="s">
        <v>20</v>
      </c>
      <c r="L55" s="6">
        <v>31</v>
      </c>
      <c r="M55" s="2">
        <v>1.43</v>
      </c>
      <c r="N55" s="6" t="s">
        <v>21</v>
      </c>
      <c r="O55" s="2" t="s">
        <v>22</v>
      </c>
      <c r="P55" s="8">
        <v>33000</v>
      </c>
    </row>
    <row r="56" spans="1:16" x14ac:dyDescent="0.3">
      <c r="A56" s="16"/>
      <c r="B56" s="1">
        <v>55</v>
      </c>
      <c r="C56" s="1" t="s">
        <v>14</v>
      </c>
      <c r="D56" s="1">
        <v>56006037</v>
      </c>
      <c r="E56" s="1" t="s">
        <v>69</v>
      </c>
      <c r="F56" s="1" t="s">
        <v>70</v>
      </c>
      <c r="G56" s="1" t="s">
        <v>17</v>
      </c>
      <c r="H56" s="1" t="s">
        <v>18</v>
      </c>
      <c r="I56" s="1" t="s">
        <v>30</v>
      </c>
      <c r="J56" s="1" t="s">
        <v>20</v>
      </c>
      <c r="K56" s="2" t="s">
        <v>20</v>
      </c>
      <c r="L56" s="6">
        <v>69</v>
      </c>
      <c r="M56" s="2">
        <v>0</v>
      </c>
      <c r="N56" s="6" t="s">
        <v>31</v>
      </c>
      <c r="O56" s="2" t="s">
        <v>32</v>
      </c>
      <c r="P56" s="8">
        <v>0</v>
      </c>
    </row>
    <row r="57" spans="1:16" x14ac:dyDescent="0.3">
      <c r="A57" s="16"/>
      <c r="B57" s="1">
        <v>56</v>
      </c>
      <c r="C57" s="1" t="s">
        <v>179</v>
      </c>
      <c r="D57" s="1">
        <v>2080980157</v>
      </c>
      <c r="E57" s="1" t="s">
        <v>914</v>
      </c>
      <c r="F57" s="1" t="s">
        <v>386</v>
      </c>
      <c r="G57" s="1" t="s">
        <v>17</v>
      </c>
      <c r="H57" s="1" t="s">
        <v>18</v>
      </c>
      <c r="I57" s="1" t="s">
        <v>19</v>
      </c>
      <c r="J57" s="1" t="s">
        <v>20</v>
      </c>
      <c r="K57" s="2" t="s">
        <v>20</v>
      </c>
      <c r="L57" s="6">
        <v>77</v>
      </c>
      <c r="M57" s="2">
        <v>1.03</v>
      </c>
      <c r="N57" s="6" t="s">
        <v>21</v>
      </c>
      <c r="O57" s="2" t="s">
        <v>22</v>
      </c>
      <c r="P57" s="8">
        <v>42000</v>
      </c>
    </row>
    <row r="58" spans="1:16" x14ac:dyDescent="0.3">
      <c r="A58" s="16"/>
      <c r="B58" s="1">
        <v>57</v>
      </c>
      <c r="C58" s="1" t="s">
        <v>14</v>
      </c>
      <c r="D58" s="1">
        <v>55994190</v>
      </c>
      <c r="E58" s="1" t="s">
        <v>71</v>
      </c>
      <c r="F58" s="1" t="s">
        <v>72</v>
      </c>
      <c r="G58" s="1" t="s">
        <v>17</v>
      </c>
      <c r="H58" s="1" t="s">
        <v>18</v>
      </c>
      <c r="I58" s="1" t="s">
        <v>19</v>
      </c>
      <c r="J58" s="1" t="s">
        <v>1015</v>
      </c>
      <c r="K58" s="2" t="s">
        <v>1015</v>
      </c>
      <c r="L58" s="6">
        <v>33</v>
      </c>
      <c r="M58" s="2">
        <v>2.15</v>
      </c>
      <c r="N58" s="6" t="s">
        <v>21</v>
      </c>
      <c r="O58" s="2" t="s">
        <v>22</v>
      </c>
      <c r="P58" s="8">
        <v>65000</v>
      </c>
    </row>
    <row r="59" spans="1:16" x14ac:dyDescent="0.3">
      <c r="A59" s="16"/>
      <c r="B59" s="1">
        <v>58</v>
      </c>
      <c r="C59" s="1" t="s">
        <v>179</v>
      </c>
      <c r="D59" s="1">
        <v>1950669322</v>
      </c>
      <c r="E59" s="1" t="s">
        <v>1034</v>
      </c>
      <c r="F59" s="1" t="s">
        <v>833</v>
      </c>
      <c r="G59" s="1" t="s">
        <v>17</v>
      </c>
      <c r="H59" s="1" t="s">
        <v>18</v>
      </c>
      <c r="I59" s="1" t="s">
        <v>30</v>
      </c>
      <c r="J59" s="1" t="s">
        <v>20</v>
      </c>
      <c r="K59" s="2" t="s">
        <v>20</v>
      </c>
      <c r="L59" s="6">
        <v>40</v>
      </c>
      <c r="M59" s="2">
        <v>0</v>
      </c>
      <c r="N59" s="6" t="s">
        <v>31</v>
      </c>
      <c r="O59" s="2" t="s">
        <v>32</v>
      </c>
      <c r="P59" s="8">
        <v>0</v>
      </c>
    </row>
    <row r="60" spans="1:16" x14ac:dyDescent="0.3">
      <c r="A60" s="16"/>
      <c r="B60" s="1">
        <v>59</v>
      </c>
      <c r="C60" s="1" t="s">
        <v>14</v>
      </c>
      <c r="D60" s="1">
        <v>56023588</v>
      </c>
      <c r="E60" s="1" t="s">
        <v>73</v>
      </c>
      <c r="F60" s="1" t="s">
        <v>72</v>
      </c>
      <c r="G60" s="1" t="s">
        <v>17</v>
      </c>
      <c r="H60" s="1" t="s">
        <v>18</v>
      </c>
      <c r="I60" s="1" t="s">
        <v>19</v>
      </c>
      <c r="J60" s="1" t="s">
        <v>1015</v>
      </c>
      <c r="K60" s="2" t="s">
        <v>1015</v>
      </c>
      <c r="L60" s="6">
        <v>48</v>
      </c>
      <c r="M60" s="2">
        <v>2.64</v>
      </c>
      <c r="N60" s="6" t="s">
        <v>21</v>
      </c>
      <c r="O60" s="2" t="s">
        <v>74</v>
      </c>
      <c r="P60" s="8">
        <v>182000</v>
      </c>
    </row>
    <row r="61" spans="1:16" x14ac:dyDescent="0.3">
      <c r="A61" s="16"/>
      <c r="B61" s="1">
        <v>60</v>
      </c>
      <c r="C61" s="1" t="s">
        <v>179</v>
      </c>
      <c r="D61" s="1">
        <v>1950669006</v>
      </c>
      <c r="E61" s="1" t="s">
        <v>1035</v>
      </c>
      <c r="F61" s="1" t="s">
        <v>910</v>
      </c>
      <c r="G61" s="1" t="s">
        <v>17</v>
      </c>
      <c r="H61" s="1" t="s">
        <v>25</v>
      </c>
      <c r="I61" s="1" t="s">
        <v>216</v>
      </c>
      <c r="J61" s="1" t="s">
        <v>20</v>
      </c>
      <c r="K61" s="2" t="s">
        <v>1015</v>
      </c>
      <c r="L61" s="6">
        <v>50</v>
      </c>
      <c r="M61" s="2">
        <v>0.64</v>
      </c>
      <c r="N61" s="6" t="s">
        <v>21</v>
      </c>
      <c r="O61" s="2" t="s">
        <v>27</v>
      </c>
      <c r="P61" s="8">
        <v>20000</v>
      </c>
    </row>
    <row r="62" spans="1:16" x14ac:dyDescent="0.3">
      <c r="A62" s="16"/>
      <c r="B62" s="1">
        <v>61</v>
      </c>
      <c r="C62" s="1" t="s">
        <v>14</v>
      </c>
      <c r="D62" s="1">
        <v>55995622</v>
      </c>
      <c r="E62" s="1" t="s">
        <v>75</v>
      </c>
      <c r="F62" s="1" t="s">
        <v>76</v>
      </c>
      <c r="G62" s="1" t="s">
        <v>17</v>
      </c>
      <c r="H62" s="1" t="s">
        <v>18</v>
      </c>
      <c r="I62" s="1" t="s">
        <v>30</v>
      </c>
      <c r="J62" s="1" t="s">
        <v>20</v>
      </c>
      <c r="K62" s="2" t="s">
        <v>20</v>
      </c>
      <c r="L62" s="6">
        <v>45</v>
      </c>
      <c r="M62" s="2">
        <v>0</v>
      </c>
      <c r="N62" s="6" t="s">
        <v>31</v>
      </c>
      <c r="O62" s="2" t="s">
        <v>32</v>
      </c>
      <c r="P62" s="8">
        <v>0</v>
      </c>
    </row>
    <row r="63" spans="1:16" x14ac:dyDescent="0.3">
      <c r="A63" s="16"/>
      <c r="B63" s="1">
        <v>62</v>
      </c>
      <c r="C63" s="1" t="s">
        <v>179</v>
      </c>
      <c r="D63" s="1">
        <v>1950668973</v>
      </c>
      <c r="E63" s="1" t="s">
        <v>1036</v>
      </c>
      <c r="F63" s="1" t="s">
        <v>1212</v>
      </c>
      <c r="G63" s="1" t="s">
        <v>17</v>
      </c>
      <c r="H63" s="1" t="s">
        <v>18</v>
      </c>
      <c r="I63" s="1" t="s">
        <v>30</v>
      </c>
      <c r="J63" s="1" t="s">
        <v>20</v>
      </c>
      <c r="K63" s="2" t="s">
        <v>20</v>
      </c>
      <c r="L63" s="6">
        <v>68</v>
      </c>
      <c r="M63" s="2">
        <v>0</v>
      </c>
      <c r="N63" s="6" t="s">
        <v>31</v>
      </c>
      <c r="O63" s="2" t="s">
        <v>32</v>
      </c>
      <c r="P63" s="8">
        <v>0</v>
      </c>
    </row>
    <row r="64" spans="1:16" x14ac:dyDescent="0.3">
      <c r="A64" s="16"/>
      <c r="B64" s="1">
        <v>63</v>
      </c>
      <c r="C64" s="1" t="s">
        <v>14</v>
      </c>
      <c r="D64" s="1">
        <v>55968301</v>
      </c>
      <c r="E64" s="1" t="s">
        <v>77</v>
      </c>
      <c r="F64" s="1" t="s">
        <v>68</v>
      </c>
      <c r="G64" s="1" t="s">
        <v>17</v>
      </c>
      <c r="H64" s="1" t="s">
        <v>18</v>
      </c>
      <c r="I64" s="1" t="s">
        <v>19</v>
      </c>
      <c r="J64" s="1" t="s">
        <v>1015</v>
      </c>
      <c r="K64" s="2" t="s">
        <v>1015</v>
      </c>
      <c r="L64" s="6">
        <v>81</v>
      </c>
      <c r="M64" s="2">
        <v>3.83</v>
      </c>
      <c r="N64" s="6" t="s">
        <v>21</v>
      </c>
      <c r="O64" s="2" t="s">
        <v>22</v>
      </c>
      <c r="P64" s="8">
        <v>168000</v>
      </c>
    </row>
    <row r="65" spans="1:16" x14ac:dyDescent="0.3">
      <c r="A65" s="16"/>
      <c r="B65" s="1">
        <v>64</v>
      </c>
      <c r="C65" s="1" t="s">
        <v>179</v>
      </c>
      <c r="D65" s="1">
        <v>1950672889</v>
      </c>
      <c r="E65" s="1" t="s">
        <v>1037</v>
      </c>
      <c r="F65" s="1" t="s">
        <v>1213</v>
      </c>
      <c r="G65" s="1" t="s">
        <v>17</v>
      </c>
      <c r="H65" s="1" t="s">
        <v>25</v>
      </c>
      <c r="I65" s="1" t="s">
        <v>216</v>
      </c>
      <c r="J65" s="1" t="s">
        <v>20</v>
      </c>
      <c r="K65" s="2" t="s">
        <v>1015</v>
      </c>
      <c r="L65" s="6">
        <v>56</v>
      </c>
      <c r="M65" s="2">
        <v>0.22</v>
      </c>
      <c r="N65" s="6" t="s">
        <v>58</v>
      </c>
      <c r="O65" s="2" t="s">
        <v>22</v>
      </c>
      <c r="P65" s="8">
        <v>9000</v>
      </c>
    </row>
    <row r="66" spans="1:16" x14ac:dyDescent="0.3">
      <c r="A66" s="16"/>
      <c r="B66" s="1">
        <v>65</v>
      </c>
      <c r="C66" s="1" t="s">
        <v>14</v>
      </c>
      <c r="D66" s="1">
        <v>55994962</v>
      </c>
      <c r="E66" s="1" t="s">
        <v>78</v>
      </c>
      <c r="F66" s="1" t="s">
        <v>79</v>
      </c>
      <c r="G66" s="1" t="s">
        <v>17</v>
      </c>
      <c r="H66" s="1" t="s">
        <v>18</v>
      </c>
      <c r="I66" s="1" t="s">
        <v>30</v>
      </c>
      <c r="J66" s="1" t="s">
        <v>20</v>
      </c>
      <c r="K66" s="2" t="s">
        <v>20</v>
      </c>
      <c r="L66" s="6">
        <v>58</v>
      </c>
      <c r="M66" s="2">
        <v>0</v>
      </c>
      <c r="N66" s="6" t="s">
        <v>31</v>
      </c>
      <c r="O66" s="2" t="s">
        <v>32</v>
      </c>
      <c r="P66" s="8">
        <v>0</v>
      </c>
    </row>
    <row r="67" spans="1:16" x14ac:dyDescent="0.3">
      <c r="A67" s="16"/>
      <c r="B67" s="1">
        <v>66</v>
      </c>
      <c r="C67" s="1" t="s">
        <v>179</v>
      </c>
      <c r="D67" s="1">
        <v>2080079281</v>
      </c>
      <c r="E67" s="1" t="s">
        <v>915</v>
      </c>
      <c r="F67" s="1" t="s">
        <v>916</v>
      </c>
      <c r="G67" s="1" t="s">
        <v>88</v>
      </c>
      <c r="H67" s="1" t="s">
        <v>25</v>
      </c>
      <c r="I67" s="1" t="s">
        <v>184</v>
      </c>
      <c r="J67" s="1" t="s">
        <v>20</v>
      </c>
      <c r="K67" s="2" t="s">
        <v>20</v>
      </c>
      <c r="L67" s="6">
        <v>46</v>
      </c>
      <c r="M67" s="2">
        <v>0.74</v>
      </c>
      <c r="N67" s="6" t="s">
        <v>21</v>
      </c>
      <c r="O67" s="2" t="s">
        <v>22</v>
      </c>
      <c r="P67" s="8">
        <v>19000</v>
      </c>
    </row>
    <row r="68" spans="1:16" x14ac:dyDescent="0.3">
      <c r="A68" s="16"/>
      <c r="B68" s="1">
        <v>67</v>
      </c>
      <c r="C68" s="1" t="s">
        <v>14</v>
      </c>
      <c r="D68" s="1">
        <v>56011675</v>
      </c>
      <c r="E68" s="1" t="s">
        <v>80</v>
      </c>
      <c r="F68" s="1" t="s">
        <v>81</v>
      </c>
      <c r="G68" s="1" t="s">
        <v>17</v>
      </c>
      <c r="H68" s="1" t="s">
        <v>18</v>
      </c>
      <c r="I68" s="1" t="s">
        <v>30</v>
      </c>
      <c r="J68" s="1" t="s">
        <v>20</v>
      </c>
      <c r="K68" s="2" t="s">
        <v>20</v>
      </c>
      <c r="L68" s="6">
        <v>72</v>
      </c>
      <c r="M68" s="2">
        <v>0</v>
      </c>
      <c r="N68" s="6" t="s">
        <v>31</v>
      </c>
      <c r="O68" s="2" t="s">
        <v>32</v>
      </c>
      <c r="P68" s="8">
        <v>0</v>
      </c>
    </row>
    <row r="69" spans="1:16" x14ac:dyDescent="0.3">
      <c r="A69" s="16"/>
      <c r="B69" s="1">
        <v>68</v>
      </c>
      <c r="C69" s="1" t="s">
        <v>179</v>
      </c>
      <c r="D69" s="1">
        <v>2080979889</v>
      </c>
      <c r="E69" s="1" t="s">
        <v>917</v>
      </c>
      <c r="F69" s="1" t="s">
        <v>918</v>
      </c>
      <c r="G69" s="1" t="s">
        <v>17</v>
      </c>
      <c r="H69" s="1" t="s">
        <v>25</v>
      </c>
      <c r="I69" s="1" t="s">
        <v>216</v>
      </c>
      <c r="J69" s="1" t="s">
        <v>20</v>
      </c>
      <c r="K69" s="2" t="s">
        <v>20</v>
      </c>
      <c r="L69" s="6">
        <v>31</v>
      </c>
      <c r="M69" s="2">
        <v>0.62</v>
      </c>
      <c r="N69" s="6" t="s">
        <v>21</v>
      </c>
      <c r="O69" s="2" t="s">
        <v>195</v>
      </c>
      <c r="P69" s="8">
        <v>39000</v>
      </c>
    </row>
    <row r="70" spans="1:16" x14ac:dyDescent="0.3">
      <c r="A70" s="16"/>
      <c r="B70" s="1">
        <v>69</v>
      </c>
      <c r="C70" s="1" t="s">
        <v>14</v>
      </c>
      <c r="D70" s="1">
        <v>56026978</v>
      </c>
      <c r="E70" s="1" t="s">
        <v>82</v>
      </c>
      <c r="F70" s="1" t="s">
        <v>83</v>
      </c>
      <c r="G70" s="1" t="s">
        <v>17</v>
      </c>
      <c r="H70" s="1" t="s">
        <v>18</v>
      </c>
      <c r="I70" s="1" t="s">
        <v>30</v>
      </c>
      <c r="J70" s="1" t="s">
        <v>20</v>
      </c>
      <c r="K70" s="2" t="s">
        <v>20</v>
      </c>
      <c r="L70" s="6">
        <v>62</v>
      </c>
      <c r="M70" s="2">
        <v>0</v>
      </c>
      <c r="N70" s="6" t="s">
        <v>31</v>
      </c>
      <c r="O70" s="2" t="s">
        <v>32</v>
      </c>
      <c r="P70" s="8">
        <v>0</v>
      </c>
    </row>
    <row r="71" spans="1:16" x14ac:dyDescent="0.3">
      <c r="A71" s="16"/>
      <c r="B71" s="1">
        <v>70</v>
      </c>
      <c r="C71" s="1" t="s">
        <v>179</v>
      </c>
      <c r="D71" s="1">
        <v>2080979956</v>
      </c>
      <c r="E71" s="1" t="s">
        <v>919</v>
      </c>
      <c r="F71" s="1" t="s">
        <v>920</v>
      </c>
      <c r="G71" s="1" t="s">
        <v>88</v>
      </c>
      <c r="H71" s="1" t="s">
        <v>25</v>
      </c>
      <c r="I71" s="1" t="s">
        <v>216</v>
      </c>
      <c r="J71" s="1" t="s">
        <v>20</v>
      </c>
      <c r="K71" s="2" t="s">
        <v>20</v>
      </c>
      <c r="L71" s="6">
        <v>68</v>
      </c>
      <c r="M71" s="2">
        <v>0.11</v>
      </c>
      <c r="N71" s="6" t="s">
        <v>21</v>
      </c>
      <c r="O71" s="2" t="s">
        <v>195</v>
      </c>
      <c r="P71" s="8">
        <v>8000</v>
      </c>
    </row>
    <row r="72" spans="1:16" x14ac:dyDescent="0.3">
      <c r="A72" s="16"/>
      <c r="B72" s="1">
        <v>71</v>
      </c>
      <c r="C72" s="1" t="s">
        <v>14</v>
      </c>
      <c r="D72" s="1">
        <v>56024509</v>
      </c>
      <c r="E72" s="1" t="s">
        <v>1038</v>
      </c>
      <c r="F72" s="1" t="s">
        <v>1214</v>
      </c>
      <c r="G72" s="1" t="s">
        <v>17</v>
      </c>
      <c r="H72" s="1" t="s">
        <v>18</v>
      </c>
      <c r="I72" s="1" t="s">
        <v>19</v>
      </c>
      <c r="J72" s="1" t="s">
        <v>20</v>
      </c>
      <c r="K72" s="2" t="s">
        <v>20</v>
      </c>
      <c r="L72" s="6">
        <v>36</v>
      </c>
      <c r="M72" s="2">
        <v>3.53</v>
      </c>
      <c r="N72" s="6" t="s">
        <v>21</v>
      </c>
      <c r="O72" s="2" t="s">
        <v>22</v>
      </c>
      <c r="P72" s="8">
        <v>199000</v>
      </c>
    </row>
    <row r="73" spans="1:16" x14ac:dyDescent="0.3">
      <c r="A73" s="16"/>
      <c r="B73" s="1">
        <v>72</v>
      </c>
      <c r="C73" s="1" t="s">
        <v>179</v>
      </c>
      <c r="D73" s="1">
        <v>2080080451</v>
      </c>
      <c r="E73" s="1" t="s">
        <v>921</v>
      </c>
      <c r="F73" s="1" t="s">
        <v>922</v>
      </c>
      <c r="G73" s="1" t="s">
        <v>17</v>
      </c>
      <c r="H73" s="1" t="s">
        <v>18</v>
      </c>
      <c r="I73" s="1" t="s">
        <v>30</v>
      </c>
      <c r="J73" s="1" t="s">
        <v>20</v>
      </c>
      <c r="K73" s="2" t="s">
        <v>20</v>
      </c>
      <c r="L73" s="6">
        <v>53</v>
      </c>
      <c r="M73" s="2">
        <v>0</v>
      </c>
      <c r="N73" s="6" t="s">
        <v>31</v>
      </c>
      <c r="O73" s="2" t="s">
        <v>32</v>
      </c>
      <c r="P73" s="8">
        <v>0</v>
      </c>
    </row>
    <row r="74" spans="1:16" x14ac:dyDescent="0.3">
      <c r="A74" s="16"/>
      <c r="B74" s="1">
        <v>73</v>
      </c>
      <c r="C74" s="1" t="s">
        <v>14</v>
      </c>
      <c r="D74" s="1">
        <v>56010683</v>
      </c>
      <c r="E74" s="1" t="s">
        <v>84</v>
      </c>
      <c r="F74" s="1" t="s">
        <v>85</v>
      </c>
      <c r="G74" s="1" t="s">
        <v>17</v>
      </c>
      <c r="H74" s="1" t="s">
        <v>18</v>
      </c>
      <c r="I74" s="1" t="s">
        <v>35</v>
      </c>
      <c r="J74" s="1" t="s">
        <v>1015</v>
      </c>
      <c r="K74" s="2" t="s">
        <v>1015</v>
      </c>
      <c r="L74" s="6">
        <v>66</v>
      </c>
      <c r="M74" s="2">
        <v>0.69</v>
      </c>
      <c r="N74" s="6" t="s">
        <v>21</v>
      </c>
      <c r="O74" s="2" t="s">
        <v>22</v>
      </c>
      <c r="P74" s="8">
        <v>23000</v>
      </c>
    </row>
    <row r="75" spans="1:16" x14ac:dyDescent="0.3">
      <c r="A75" s="16"/>
      <c r="B75" s="1">
        <v>74</v>
      </c>
      <c r="C75" s="1" t="s">
        <v>179</v>
      </c>
      <c r="D75" s="1">
        <v>2080078839</v>
      </c>
      <c r="E75" s="1" t="s">
        <v>923</v>
      </c>
      <c r="F75" s="1" t="s">
        <v>924</v>
      </c>
      <c r="G75" s="1" t="s">
        <v>88</v>
      </c>
      <c r="H75" s="1" t="s">
        <v>18</v>
      </c>
      <c r="I75" s="1" t="s">
        <v>26</v>
      </c>
      <c r="J75" s="1" t="s">
        <v>20</v>
      </c>
      <c r="K75" s="2" t="s">
        <v>20</v>
      </c>
      <c r="L75" s="6">
        <v>55</v>
      </c>
      <c r="M75" s="2">
        <v>3.74</v>
      </c>
      <c r="N75" s="6" t="s">
        <v>21</v>
      </c>
      <c r="O75" s="2" t="s">
        <v>41</v>
      </c>
      <c r="P75" s="8">
        <v>125000</v>
      </c>
    </row>
    <row r="76" spans="1:16" x14ac:dyDescent="0.3">
      <c r="A76" s="16"/>
      <c r="B76" s="1">
        <v>75</v>
      </c>
      <c r="C76" s="1" t="s">
        <v>14</v>
      </c>
      <c r="D76" s="1">
        <v>56020173</v>
      </c>
      <c r="E76" s="1" t="s">
        <v>526</v>
      </c>
      <c r="F76" s="1" t="s">
        <v>1215</v>
      </c>
      <c r="G76" s="1" t="s">
        <v>17</v>
      </c>
      <c r="H76" s="1" t="s">
        <v>18</v>
      </c>
      <c r="I76" s="1" t="s">
        <v>30</v>
      </c>
      <c r="J76" s="1" t="s">
        <v>20</v>
      </c>
      <c r="K76" s="2" t="s">
        <v>20</v>
      </c>
      <c r="L76" s="6">
        <v>81</v>
      </c>
      <c r="M76" s="2">
        <v>0</v>
      </c>
      <c r="N76" s="6" t="s">
        <v>31</v>
      </c>
      <c r="O76" s="2" t="s">
        <v>32</v>
      </c>
      <c r="P76" s="8">
        <v>0</v>
      </c>
    </row>
    <row r="77" spans="1:16" x14ac:dyDescent="0.3">
      <c r="A77" s="16"/>
      <c r="B77" s="1">
        <v>76</v>
      </c>
      <c r="C77" s="1" t="s">
        <v>179</v>
      </c>
      <c r="D77" s="1">
        <v>2080081308</v>
      </c>
      <c r="E77" s="1" t="s">
        <v>925</v>
      </c>
      <c r="F77" s="1" t="s">
        <v>887</v>
      </c>
      <c r="G77" s="1" t="s">
        <v>17</v>
      </c>
      <c r="H77" s="1" t="s">
        <v>18</v>
      </c>
      <c r="I77" s="1" t="s">
        <v>30</v>
      </c>
      <c r="J77" s="1" t="s">
        <v>20</v>
      </c>
      <c r="K77" s="2" t="s">
        <v>20</v>
      </c>
      <c r="L77" s="6">
        <v>40</v>
      </c>
      <c r="M77" s="2">
        <v>0</v>
      </c>
      <c r="N77" s="6" t="s">
        <v>31</v>
      </c>
      <c r="O77" s="2" t="s">
        <v>32</v>
      </c>
      <c r="P77" s="8">
        <v>0</v>
      </c>
    </row>
    <row r="78" spans="1:16" x14ac:dyDescent="0.3">
      <c r="A78" s="16"/>
      <c r="B78" s="1">
        <v>77</v>
      </c>
      <c r="C78" s="1" t="s">
        <v>14</v>
      </c>
      <c r="D78" s="1">
        <v>56001851</v>
      </c>
      <c r="E78" s="1" t="s">
        <v>86</v>
      </c>
      <c r="F78" s="1" t="s">
        <v>87</v>
      </c>
      <c r="G78" s="1" t="s">
        <v>17</v>
      </c>
      <c r="H78" s="1" t="s">
        <v>18</v>
      </c>
      <c r="I78" s="1" t="s">
        <v>30</v>
      </c>
      <c r="J78" s="1" t="s">
        <v>20</v>
      </c>
      <c r="K78" s="2" t="s">
        <v>20</v>
      </c>
      <c r="L78" s="6">
        <v>69</v>
      </c>
      <c r="M78" s="2">
        <v>0</v>
      </c>
      <c r="N78" s="6" t="s">
        <v>31</v>
      </c>
      <c r="O78" s="2" t="s">
        <v>32</v>
      </c>
      <c r="P78" s="8">
        <v>0</v>
      </c>
    </row>
    <row r="79" spans="1:16" x14ac:dyDescent="0.3">
      <c r="A79" s="16"/>
      <c r="B79" s="1">
        <v>78</v>
      </c>
      <c r="C79" s="1" t="s">
        <v>179</v>
      </c>
      <c r="D79" s="1">
        <v>2080081131</v>
      </c>
      <c r="E79" s="1" t="s">
        <v>926</v>
      </c>
      <c r="F79" s="1" t="s">
        <v>927</v>
      </c>
      <c r="G79" s="1" t="s">
        <v>17</v>
      </c>
      <c r="H79" s="1" t="s">
        <v>18</v>
      </c>
      <c r="I79" s="1" t="s">
        <v>30</v>
      </c>
      <c r="J79" s="1" t="s">
        <v>20</v>
      </c>
      <c r="K79" s="2" t="s">
        <v>20</v>
      </c>
      <c r="L79" s="6">
        <v>37</v>
      </c>
      <c r="M79" s="2">
        <v>0</v>
      </c>
      <c r="N79" s="6" t="s">
        <v>31</v>
      </c>
      <c r="O79" s="2" t="s">
        <v>32</v>
      </c>
      <c r="P79" s="8">
        <v>0</v>
      </c>
    </row>
    <row r="80" spans="1:16" x14ac:dyDescent="0.3">
      <c r="A80" s="16"/>
      <c r="B80" s="1">
        <v>79</v>
      </c>
      <c r="C80" s="1" t="s">
        <v>14</v>
      </c>
      <c r="D80" s="1">
        <v>55976229</v>
      </c>
      <c r="E80" s="1" t="s">
        <v>1039</v>
      </c>
      <c r="F80" s="1" t="s">
        <v>1216</v>
      </c>
      <c r="G80" s="1" t="s">
        <v>88</v>
      </c>
      <c r="H80" s="1" t="s">
        <v>18</v>
      </c>
      <c r="I80" s="1" t="s">
        <v>30</v>
      </c>
      <c r="J80" s="1" t="s">
        <v>1015</v>
      </c>
      <c r="K80" s="2" t="s">
        <v>1015</v>
      </c>
      <c r="L80" s="6">
        <v>57</v>
      </c>
      <c r="M80" s="2">
        <v>0</v>
      </c>
      <c r="N80" s="6" t="s">
        <v>31</v>
      </c>
      <c r="O80" s="2" t="s">
        <v>32</v>
      </c>
      <c r="P80" s="8">
        <v>0</v>
      </c>
    </row>
    <row r="81" spans="1:16" x14ac:dyDescent="0.3">
      <c r="A81" s="16"/>
      <c r="B81" s="1">
        <v>80</v>
      </c>
      <c r="C81" s="1" t="s">
        <v>179</v>
      </c>
      <c r="D81" s="1">
        <v>1950669281</v>
      </c>
      <c r="E81" s="1" t="s">
        <v>1040</v>
      </c>
      <c r="F81" s="1" t="s">
        <v>897</v>
      </c>
      <c r="G81" s="1" t="s">
        <v>17</v>
      </c>
      <c r="H81" s="1" t="s">
        <v>18</v>
      </c>
      <c r="I81" s="1" t="s">
        <v>184</v>
      </c>
      <c r="J81" s="1" t="s">
        <v>20</v>
      </c>
      <c r="K81" s="2" t="s">
        <v>20</v>
      </c>
      <c r="L81" s="6">
        <v>59</v>
      </c>
      <c r="M81" s="2">
        <v>1.1000000000000001</v>
      </c>
      <c r="N81" s="6" t="s">
        <v>21</v>
      </c>
      <c r="O81" s="2" t="s">
        <v>361</v>
      </c>
      <c r="P81" s="8">
        <v>31000</v>
      </c>
    </row>
    <row r="82" spans="1:16" x14ac:dyDescent="0.3">
      <c r="A82" s="16"/>
      <c r="B82" s="1">
        <v>81</v>
      </c>
      <c r="C82" s="1" t="s">
        <v>14</v>
      </c>
      <c r="D82" s="1">
        <v>56022767</v>
      </c>
      <c r="E82" s="1" t="s">
        <v>89</v>
      </c>
      <c r="F82" s="1" t="s">
        <v>90</v>
      </c>
      <c r="G82" s="1" t="s">
        <v>17</v>
      </c>
      <c r="H82" s="1" t="s">
        <v>18</v>
      </c>
      <c r="I82" s="1" t="s">
        <v>30</v>
      </c>
      <c r="J82" s="1" t="s">
        <v>20</v>
      </c>
      <c r="K82" s="2" t="s">
        <v>20</v>
      </c>
      <c r="L82" s="6">
        <v>72</v>
      </c>
      <c r="M82" s="2">
        <v>0</v>
      </c>
      <c r="N82" s="6" t="s">
        <v>31</v>
      </c>
      <c r="O82" s="2" t="s">
        <v>32</v>
      </c>
      <c r="P82" s="8">
        <v>0</v>
      </c>
    </row>
    <row r="83" spans="1:16" x14ac:dyDescent="0.3">
      <c r="A83" s="16"/>
      <c r="B83" s="1">
        <v>82</v>
      </c>
      <c r="C83" s="1" t="s">
        <v>179</v>
      </c>
      <c r="D83" s="1">
        <v>2080081035</v>
      </c>
      <c r="E83" s="1" t="s">
        <v>928</v>
      </c>
      <c r="F83" s="1" t="s">
        <v>929</v>
      </c>
      <c r="G83" s="1" t="s">
        <v>17</v>
      </c>
      <c r="H83" s="1" t="s">
        <v>18</v>
      </c>
      <c r="I83" s="1" t="s">
        <v>30</v>
      </c>
      <c r="J83" s="1" t="s">
        <v>20</v>
      </c>
      <c r="K83" s="2" t="s">
        <v>20</v>
      </c>
      <c r="L83" s="6">
        <v>42</v>
      </c>
      <c r="M83" s="2">
        <v>0</v>
      </c>
      <c r="N83" s="6" t="s">
        <v>31</v>
      </c>
      <c r="O83" s="2" t="s">
        <v>32</v>
      </c>
      <c r="P83" s="8">
        <v>0</v>
      </c>
    </row>
    <row r="84" spans="1:16" x14ac:dyDescent="0.3">
      <c r="A84" s="16"/>
      <c r="B84" s="1">
        <v>83</v>
      </c>
      <c r="C84" s="1" t="s">
        <v>14</v>
      </c>
      <c r="D84" s="1">
        <v>57030553</v>
      </c>
      <c r="E84" s="1" t="s">
        <v>91</v>
      </c>
      <c r="F84" s="1" t="s">
        <v>92</v>
      </c>
      <c r="G84" s="1" t="s">
        <v>17</v>
      </c>
      <c r="H84" s="1" t="s">
        <v>18</v>
      </c>
      <c r="I84" s="1" t="s">
        <v>30</v>
      </c>
      <c r="J84" s="1" t="s">
        <v>1015</v>
      </c>
      <c r="K84" s="2" t="s">
        <v>1015</v>
      </c>
      <c r="L84" s="6">
        <v>64</v>
      </c>
      <c r="M84" s="2">
        <v>0</v>
      </c>
      <c r="N84" s="6" t="s">
        <v>31</v>
      </c>
      <c r="O84" s="2" t="s">
        <v>32</v>
      </c>
      <c r="P84" s="8">
        <v>0</v>
      </c>
    </row>
    <row r="85" spans="1:16" x14ac:dyDescent="0.3">
      <c r="A85" s="16"/>
      <c r="B85" s="1">
        <v>84</v>
      </c>
      <c r="C85" s="1" t="s">
        <v>179</v>
      </c>
      <c r="D85" s="1">
        <v>2080079038</v>
      </c>
      <c r="E85" s="1" t="s">
        <v>930</v>
      </c>
      <c r="F85" s="1" t="s">
        <v>1217</v>
      </c>
      <c r="G85" s="1" t="s">
        <v>17</v>
      </c>
      <c r="H85" s="1" t="s">
        <v>25</v>
      </c>
      <c r="I85" s="1" t="s">
        <v>216</v>
      </c>
      <c r="J85" s="1" t="s">
        <v>20</v>
      </c>
      <c r="K85" s="2" t="s">
        <v>20</v>
      </c>
      <c r="L85" s="6">
        <v>52</v>
      </c>
      <c r="M85" s="2">
        <v>1.43</v>
      </c>
      <c r="N85" s="6" t="s">
        <v>36</v>
      </c>
      <c r="O85" s="2" t="s">
        <v>22</v>
      </c>
      <c r="P85" s="8">
        <v>84000</v>
      </c>
    </row>
    <row r="86" spans="1:16" x14ac:dyDescent="0.3">
      <c r="A86" s="16"/>
      <c r="B86" s="1">
        <v>85</v>
      </c>
      <c r="C86" s="1" t="s">
        <v>14</v>
      </c>
      <c r="D86" s="1">
        <v>55988417</v>
      </c>
      <c r="E86" s="1" t="s">
        <v>93</v>
      </c>
      <c r="F86" s="1" t="s">
        <v>94</v>
      </c>
      <c r="G86" s="1" t="s">
        <v>17</v>
      </c>
      <c r="H86" s="1" t="s">
        <v>18</v>
      </c>
      <c r="I86" s="1" t="s">
        <v>30</v>
      </c>
      <c r="J86" s="1" t="s">
        <v>20</v>
      </c>
      <c r="K86" s="2" t="s">
        <v>20</v>
      </c>
      <c r="L86" s="6">
        <v>67</v>
      </c>
      <c r="M86" s="2">
        <v>0</v>
      </c>
      <c r="N86" s="6" t="s">
        <v>31</v>
      </c>
      <c r="O86" s="2" t="s">
        <v>32</v>
      </c>
      <c r="P86" s="8">
        <v>0</v>
      </c>
    </row>
    <row r="87" spans="1:16" x14ac:dyDescent="0.3">
      <c r="A87" s="16"/>
      <c r="B87" s="1">
        <v>86</v>
      </c>
      <c r="C87" s="1" t="s">
        <v>179</v>
      </c>
      <c r="D87" s="1">
        <v>2080077933</v>
      </c>
      <c r="E87" s="1" t="s">
        <v>931</v>
      </c>
      <c r="F87" s="1" t="s">
        <v>932</v>
      </c>
      <c r="G87" s="1" t="s">
        <v>17</v>
      </c>
      <c r="H87" s="1" t="s">
        <v>18</v>
      </c>
      <c r="I87" s="1" t="s">
        <v>19</v>
      </c>
      <c r="J87" s="1" t="s">
        <v>20</v>
      </c>
      <c r="K87" s="2" t="s">
        <v>20</v>
      </c>
      <c r="L87" s="6">
        <v>61</v>
      </c>
      <c r="M87" s="2">
        <v>4.3499999999999996</v>
      </c>
      <c r="N87" s="6" t="s">
        <v>21</v>
      </c>
      <c r="O87" s="2" t="s">
        <v>22</v>
      </c>
      <c r="P87" s="8">
        <v>246000</v>
      </c>
    </row>
    <row r="88" spans="1:16" x14ac:dyDescent="0.3">
      <c r="A88" s="16"/>
      <c r="B88" s="1">
        <v>87</v>
      </c>
      <c r="C88" s="1" t="s">
        <v>14</v>
      </c>
      <c r="D88" s="1">
        <v>55999999</v>
      </c>
      <c r="E88" s="1" t="s">
        <v>95</v>
      </c>
      <c r="F88" s="1" t="s">
        <v>96</v>
      </c>
      <c r="G88" s="1" t="s">
        <v>17</v>
      </c>
      <c r="H88" s="1" t="s">
        <v>18</v>
      </c>
      <c r="I88" s="1" t="s">
        <v>30</v>
      </c>
      <c r="J88" s="1" t="s">
        <v>20</v>
      </c>
      <c r="K88" s="2" t="s">
        <v>20</v>
      </c>
      <c r="L88" s="6">
        <v>32</v>
      </c>
      <c r="M88" s="2">
        <v>0</v>
      </c>
      <c r="N88" s="6" t="s">
        <v>31</v>
      </c>
      <c r="O88" s="2" t="s">
        <v>32</v>
      </c>
      <c r="P88" s="8">
        <v>0</v>
      </c>
    </row>
    <row r="89" spans="1:16" x14ac:dyDescent="0.3">
      <c r="A89" s="16"/>
      <c r="B89" s="1">
        <v>88</v>
      </c>
      <c r="C89" s="1" t="s">
        <v>179</v>
      </c>
      <c r="D89" s="1">
        <v>2080979794</v>
      </c>
      <c r="E89" s="1" t="s">
        <v>933</v>
      </c>
      <c r="F89" s="1" t="s">
        <v>934</v>
      </c>
      <c r="G89" s="1" t="s">
        <v>17</v>
      </c>
      <c r="H89" s="1" t="s">
        <v>25</v>
      </c>
      <c r="I89" s="1" t="s">
        <v>216</v>
      </c>
      <c r="J89" s="1" t="s">
        <v>20</v>
      </c>
      <c r="K89" s="2" t="s">
        <v>20</v>
      </c>
      <c r="L89" s="6">
        <v>68</v>
      </c>
      <c r="M89" s="2">
        <v>0.69</v>
      </c>
      <c r="N89" s="6" t="s">
        <v>21</v>
      </c>
      <c r="O89" s="2" t="s">
        <v>27</v>
      </c>
      <c r="P89" s="8">
        <v>17000</v>
      </c>
    </row>
    <row r="90" spans="1:16" x14ac:dyDescent="0.3">
      <c r="A90" s="16"/>
      <c r="B90" s="1">
        <v>89</v>
      </c>
      <c r="C90" s="1" t="s">
        <v>14</v>
      </c>
      <c r="D90" s="1">
        <v>57014140</v>
      </c>
      <c r="E90" s="1" t="s">
        <v>97</v>
      </c>
      <c r="F90" s="1" t="s">
        <v>98</v>
      </c>
      <c r="G90" s="1" t="s">
        <v>17</v>
      </c>
      <c r="H90" s="1" t="s">
        <v>18</v>
      </c>
      <c r="I90" s="1" t="s">
        <v>30</v>
      </c>
      <c r="J90" s="1" t="s">
        <v>1015</v>
      </c>
      <c r="K90" s="2" t="s">
        <v>1015</v>
      </c>
      <c r="L90" s="6">
        <v>47</v>
      </c>
      <c r="M90" s="2">
        <v>0</v>
      </c>
      <c r="N90" s="6" t="s">
        <v>31</v>
      </c>
      <c r="O90" s="2" t="s">
        <v>32</v>
      </c>
      <c r="P90" s="8">
        <v>0</v>
      </c>
    </row>
    <row r="91" spans="1:16" x14ac:dyDescent="0.3">
      <c r="A91" s="16"/>
      <c r="B91" s="1">
        <v>90</v>
      </c>
      <c r="C91" s="1" t="s">
        <v>179</v>
      </c>
      <c r="D91" s="1">
        <v>1950671177</v>
      </c>
      <c r="E91" s="1" t="s">
        <v>1041</v>
      </c>
      <c r="F91" s="1" t="s">
        <v>1218</v>
      </c>
      <c r="G91" s="1" t="s">
        <v>17</v>
      </c>
      <c r="H91" s="1" t="s">
        <v>18</v>
      </c>
      <c r="I91" s="1" t="s">
        <v>30</v>
      </c>
      <c r="J91" s="1" t="s">
        <v>20</v>
      </c>
      <c r="K91" s="2" t="s">
        <v>20</v>
      </c>
      <c r="L91" s="6">
        <v>60</v>
      </c>
      <c r="M91" s="2">
        <v>0</v>
      </c>
      <c r="N91" s="6" t="s">
        <v>31</v>
      </c>
      <c r="O91" s="2" t="s">
        <v>32</v>
      </c>
      <c r="P91" s="8">
        <v>0</v>
      </c>
    </row>
    <row r="92" spans="1:16" x14ac:dyDescent="0.3">
      <c r="A92" s="16"/>
      <c r="B92" s="1">
        <v>91</v>
      </c>
      <c r="C92" s="1" t="s">
        <v>14</v>
      </c>
      <c r="D92" s="1">
        <v>55970518</v>
      </c>
      <c r="E92" s="1" t="s">
        <v>99</v>
      </c>
      <c r="F92" s="1" t="s">
        <v>100</v>
      </c>
      <c r="G92" s="1" t="s">
        <v>17</v>
      </c>
      <c r="H92" s="1" t="s">
        <v>18</v>
      </c>
      <c r="I92" s="1" t="s">
        <v>30</v>
      </c>
      <c r="J92" s="1" t="s">
        <v>1015</v>
      </c>
      <c r="K92" s="2" t="s">
        <v>1015</v>
      </c>
      <c r="L92" s="6">
        <v>74</v>
      </c>
      <c r="M92" s="2">
        <v>0</v>
      </c>
      <c r="N92" s="6" t="s">
        <v>31</v>
      </c>
      <c r="O92" s="2" t="s">
        <v>32</v>
      </c>
      <c r="P92" s="8">
        <v>0</v>
      </c>
    </row>
    <row r="93" spans="1:16" x14ac:dyDescent="0.3">
      <c r="A93" s="16"/>
      <c r="B93" s="1">
        <v>92</v>
      </c>
      <c r="C93" s="1" t="s">
        <v>179</v>
      </c>
      <c r="D93" s="1">
        <v>2080980207</v>
      </c>
      <c r="E93" s="1" t="s">
        <v>935</v>
      </c>
      <c r="F93" s="1" t="s">
        <v>936</v>
      </c>
      <c r="G93" s="1" t="s">
        <v>17</v>
      </c>
      <c r="H93" s="1" t="s">
        <v>25</v>
      </c>
      <c r="I93" s="1" t="s">
        <v>216</v>
      </c>
      <c r="J93" s="1" t="s">
        <v>1015</v>
      </c>
      <c r="K93" s="2" t="s">
        <v>1015</v>
      </c>
      <c r="L93" s="6">
        <v>78</v>
      </c>
      <c r="M93" s="2">
        <v>0.43</v>
      </c>
      <c r="N93" s="6" t="s">
        <v>58</v>
      </c>
      <c r="O93" s="2" t="s">
        <v>41</v>
      </c>
      <c r="P93" s="8">
        <v>8000</v>
      </c>
    </row>
    <row r="94" spans="1:16" x14ac:dyDescent="0.3">
      <c r="A94" s="16"/>
      <c r="B94" s="1">
        <v>93</v>
      </c>
      <c r="C94" s="1" t="s">
        <v>14</v>
      </c>
      <c r="D94" s="1">
        <v>57029413</v>
      </c>
      <c r="E94" s="1" t="s">
        <v>101</v>
      </c>
      <c r="F94" s="1" t="s">
        <v>54</v>
      </c>
      <c r="G94" s="1" t="s">
        <v>17</v>
      </c>
      <c r="H94" s="1" t="s">
        <v>18</v>
      </c>
      <c r="I94" s="1" t="s">
        <v>30</v>
      </c>
      <c r="J94" s="1" t="s">
        <v>1015</v>
      </c>
      <c r="K94" s="2" t="s">
        <v>1015</v>
      </c>
      <c r="L94" s="6">
        <v>56</v>
      </c>
      <c r="M94" s="2">
        <v>0</v>
      </c>
      <c r="N94" s="6" t="s">
        <v>31</v>
      </c>
      <c r="O94" s="2" t="s">
        <v>32</v>
      </c>
      <c r="P94" s="8">
        <v>0</v>
      </c>
    </row>
    <row r="95" spans="1:16" x14ac:dyDescent="0.3">
      <c r="A95" s="16"/>
      <c r="B95" s="1">
        <v>94</v>
      </c>
      <c r="C95" s="1" t="s">
        <v>179</v>
      </c>
      <c r="D95" s="1">
        <v>2080077606</v>
      </c>
      <c r="E95" s="1" t="s">
        <v>937</v>
      </c>
      <c r="F95" s="1" t="s">
        <v>938</v>
      </c>
      <c r="G95" s="1" t="s">
        <v>17</v>
      </c>
      <c r="H95" s="1" t="s">
        <v>18</v>
      </c>
      <c r="I95" s="1" t="s">
        <v>19</v>
      </c>
      <c r="J95" s="1" t="s">
        <v>20</v>
      </c>
      <c r="K95" s="2" t="s">
        <v>20</v>
      </c>
      <c r="L95" s="6">
        <v>74</v>
      </c>
      <c r="M95" s="2">
        <v>2.48</v>
      </c>
      <c r="N95" s="6" t="s">
        <v>21</v>
      </c>
      <c r="O95" s="2" t="s">
        <v>22</v>
      </c>
      <c r="P95" s="8">
        <v>77000</v>
      </c>
    </row>
    <row r="96" spans="1:16" x14ac:dyDescent="0.3">
      <c r="A96" s="16"/>
      <c r="B96" s="1">
        <v>95</v>
      </c>
      <c r="C96" s="1" t="s">
        <v>14</v>
      </c>
      <c r="D96" s="1">
        <v>56004302</v>
      </c>
      <c r="E96" s="1" t="s">
        <v>102</v>
      </c>
      <c r="F96" s="1" t="s">
        <v>103</v>
      </c>
      <c r="G96" s="1" t="s">
        <v>17</v>
      </c>
      <c r="H96" s="1" t="s">
        <v>18</v>
      </c>
      <c r="I96" s="1" t="s">
        <v>30</v>
      </c>
      <c r="J96" s="1" t="s">
        <v>1015</v>
      </c>
      <c r="K96" s="2" t="s">
        <v>1015</v>
      </c>
      <c r="L96" s="6">
        <v>66</v>
      </c>
      <c r="M96" s="2">
        <v>0</v>
      </c>
      <c r="N96" s="6" t="s">
        <v>31</v>
      </c>
      <c r="O96" s="2" t="s">
        <v>32</v>
      </c>
      <c r="P96" s="8">
        <v>0</v>
      </c>
    </row>
    <row r="97" spans="1:16" x14ac:dyDescent="0.3">
      <c r="A97" s="16"/>
      <c r="B97" s="1">
        <v>96</v>
      </c>
      <c r="C97" s="1" t="s">
        <v>179</v>
      </c>
      <c r="D97" s="1">
        <v>2080079936</v>
      </c>
      <c r="E97" s="1" t="s">
        <v>939</v>
      </c>
      <c r="F97" s="1" t="s">
        <v>940</v>
      </c>
      <c r="G97" s="1" t="s">
        <v>17</v>
      </c>
      <c r="H97" s="1" t="s">
        <v>25</v>
      </c>
      <c r="I97" s="1" t="s">
        <v>184</v>
      </c>
      <c r="J97" s="1" t="s">
        <v>20</v>
      </c>
      <c r="K97" s="2" t="s">
        <v>20</v>
      </c>
      <c r="L97" s="6">
        <v>45</v>
      </c>
      <c r="M97" s="2">
        <v>0.88</v>
      </c>
      <c r="N97" s="6" t="s">
        <v>21</v>
      </c>
      <c r="O97" s="2" t="s">
        <v>55</v>
      </c>
      <c r="P97" s="8">
        <v>17000</v>
      </c>
    </row>
    <row r="98" spans="1:16" x14ac:dyDescent="0.3">
      <c r="A98" s="16"/>
      <c r="B98" s="1">
        <v>97</v>
      </c>
      <c r="C98" s="1" t="s">
        <v>14</v>
      </c>
      <c r="D98" s="1">
        <v>57033163</v>
      </c>
      <c r="E98" s="1" t="s">
        <v>1042</v>
      </c>
      <c r="F98" s="1" t="s">
        <v>1214</v>
      </c>
      <c r="G98" s="1" t="s">
        <v>88</v>
      </c>
      <c r="H98" s="1" t="s">
        <v>18</v>
      </c>
      <c r="I98" s="1" t="s">
        <v>19</v>
      </c>
      <c r="J98" s="1" t="s">
        <v>20</v>
      </c>
      <c r="K98" s="2" t="s">
        <v>20</v>
      </c>
      <c r="L98" s="6">
        <v>77</v>
      </c>
      <c r="M98" s="2">
        <v>1.6</v>
      </c>
      <c r="N98" s="6" t="s">
        <v>21</v>
      </c>
      <c r="O98" s="2" t="s">
        <v>27</v>
      </c>
      <c r="P98" s="8">
        <v>38000</v>
      </c>
    </row>
    <row r="99" spans="1:16" x14ac:dyDescent="0.3">
      <c r="A99" s="16"/>
      <c r="B99" s="1">
        <v>98</v>
      </c>
      <c r="C99" s="1" t="s">
        <v>179</v>
      </c>
      <c r="D99" s="1">
        <v>1950673520</v>
      </c>
      <c r="E99" s="1" t="s">
        <v>1043</v>
      </c>
      <c r="F99" s="1" t="s">
        <v>874</v>
      </c>
      <c r="G99" s="1" t="s">
        <v>17</v>
      </c>
      <c r="H99" s="1" t="s">
        <v>18</v>
      </c>
      <c r="I99" s="1" t="s">
        <v>30</v>
      </c>
      <c r="J99" s="1" t="s">
        <v>20</v>
      </c>
      <c r="K99" s="2" t="s">
        <v>20</v>
      </c>
      <c r="L99" s="6">
        <v>46</v>
      </c>
      <c r="M99" s="2">
        <v>0</v>
      </c>
      <c r="N99" s="6" t="s">
        <v>31</v>
      </c>
      <c r="O99" s="2" t="s">
        <v>32</v>
      </c>
      <c r="P99" s="8">
        <v>0</v>
      </c>
    </row>
    <row r="100" spans="1:16" x14ac:dyDescent="0.3">
      <c r="A100" s="16"/>
      <c r="B100" s="1">
        <v>99</v>
      </c>
      <c r="C100" s="1" t="s">
        <v>14</v>
      </c>
      <c r="D100" s="1">
        <v>56015857</v>
      </c>
      <c r="E100" s="1" t="s">
        <v>104</v>
      </c>
      <c r="F100" s="1" t="s">
        <v>105</v>
      </c>
      <c r="G100" s="1" t="s">
        <v>17</v>
      </c>
      <c r="H100" s="1" t="s">
        <v>18</v>
      </c>
      <c r="I100" s="1" t="s">
        <v>30</v>
      </c>
      <c r="J100" s="1" t="s">
        <v>1015</v>
      </c>
      <c r="K100" s="2" t="s">
        <v>1015</v>
      </c>
      <c r="L100" s="6">
        <v>60</v>
      </c>
      <c r="M100" s="2">
        <v>0</v>
      </c>
      <c r="N100" s="6" t="s">
        <v>31</v>
      </c>
      <c r="O100" s="2" t="s">
        <v>32</v>
      </c>
      <c r="P100" s="8">
        <v>0</v>
      </c>
    </row>
    <row r="101" spans="1:16" x14ac:dyDescent="0.3">
      <c r="A101" s="16"/>
      <c r="B101" s="1">
        <v>100</v>
      </c>
      <c r="C101" s="1" t="s">
        <v>179</v>
      </c>
      <c r="D101" s="1">
        <v>1950681028</v>
      </c>
      <c r="E101" s="1" t="s">
        <v>1044</v>
      </c>
      <c r="F101" s="1" t="s">
        <v>225</v>
      </c>
      <c r="G101" s="1" t="s">
        <v>17</v>
      </c>
      <c r="H101" s="1" t="s">
        <v>25</v>
      </c>
      <c r="I101" s="1" t="s">
        <v>216</v>
      </c>
      <c r="J101" s="1" t="s">
        <v>20</v>
      </c>
      <c r="K101" s="2" t="s">
        <v>20</v>
      </c>
      <c r="L101" s="6">
        <v>44</v>
      </c>
      <c r="M101" s="2">
        <v>0.78</v>
      </c>
      <c r="N101" s="6" t="s">
        <v>21</v>
      </c>
      <c r="O101" s="2" t="s">
        <v>22</v>
      </c>
      <c r="P101" s="8">
        <v>47000</v>
      </c>
    </row>
    <row r="102" spans="1:16" x14ac:dyDescent="0.3">
      <c r="A102" s="16"/>
      <c r="B102" s="1">
        <v>101</v>
      </c>
      <c r="C102" s="1" t="s">
        <v>14</v>
      </c>
      <c r="D102" s="1">
        <v>56025593</v>
      </c>
      <c r="E102" s="1" t="s">
        <v>106</v>
      </c>
      <c r="F102" s="1" t="s">
        <v>107</v>
      </c>
      <c r="G102" s="1" t="s">
        <v>17</v>
      </c>
      <c r="H102" s="1" t="s">
        <v>18</v>
      </c>
      <c r="I102" s="1" t="s">
        <v>19</v>
      </c>
      <c r="J102" s="1" t="s">
        <v>1015</v>
      </c>
      <c r="K102" s="2" t="s">
        <v>1015</v>
      </c>
      <c r="L102" s="6">
        <v>67</v>
      </c>
      <c r="M102" s="2">
        <v>1.64</v>
      </c>
      <c r="N102" s="6" t="s">
        <v>21</v>
      </c>
      <c r="O102" s="2" t="s">
        <v>41</v>
      </c>
      <c r="P102" s="8">
        <v>33000</v>
      </c>
    </row>
    <row r="103" spans="1:16" x14ac:dyDescent="0.3">
      <c r="A103" s="16"/>
      <c r="B103" s="1">
        <v>102</v>
      </c>
      <c r="C103" s="1" t="s">
        <v>179</v>
      </c>
      <c r="D103" s="1">
        <v>1950669208</v>
      </c>
      <c r="E103" s="1" t="s">
        <v>1045</v>
      </c>
      <c r="F103" s="1" t="s">
        <v>1219</v>
      </c>
      <c r="G103" s="1" t="s">
        <v>17</v>
      </c>
      <c r="H103" s="1" t="s">
        <v>25</v>
      </c>
      <c r="I103" s="1" t="s">
        <v>216</v>
      </c>
      <c r="J103" s="1" t="s">
        <v>20</v>
      </c>
      <c r="K103" s="2" t="s">
        <v>20</v>
      </c>
      <c r="L103" s="6">
        <v>40</v>
      </c>
      <c r="M103" s="2">
        <v>1.31</v>
      </c>
      <c r="N103" s="6" t="s">
        <v>21</v>
      </c>
      <c r="O103" s="2" t="s">
        <v>74</v>
      </c>
      <c r="P103" s="8">
        <v>50000</v>
      </c>
    </row>
    <row r="104" spans="1:16" x14ac:dyDescent="0.3">
      <c r="A104" s="16"/>
      <c r="B104" s="1">
        <v>103</v>
      </c>
      <c r="C104" s="1" t="s">
        <v>14</v>
      </c>
      <c r="D104" s="1">
        <v>57017305</v>
      </c>
      <c r="E104" s="1" t="s">
        <v>108</v>
      </c>
      <c r="F104" s="1" t="s">
        <v>109</v>
      </c>
      <c r="G104" s="1" t="s">
        <v>17</v>
      </c>
      <c r="H104" s="1" t="s">
        <v>25</v>
      </c>
      <c r="I104" s="1" t="s">
        <v>26</v>
      </c>
      <c r="J104" s="1" t="s">
        <v>20</v>
      </c>
      <c r="K104" s="2" t="s">
        <v>20</v>
      </c>
      <c r="L104" s="6">
        <v>70</v>
      </c>
      <c r="M104" s="2">
        <v>0.22</v>
      </c>
      <c r="N104" s="6" t="s">
        <v>21</v>
      </c>
      <c r="O104" s="2" t="s">
        <v>41</v>
      </c>
      <c r="P104" s="8">
        <v>10000</v>
      </c>
    </row>
    <row r="105" spans="1:16" x14ac:dyDescent="0.3">
      <c r="A105" s="16"/>
      <c r="B105" s="1">
        <v>104</v>
      </c>
      <c r="C105" s="1" t="s">
        <v>179</v>
      </c>
      <c r="D105" s="1">
        <v>2080980115</v>
      </c>
      <c r="E105" s="1" t="s">
        <v>941</v>
      </c>
      <c r="F105" s="1" t="s">
        <v>905</v>
      </c>
      <c r="G105" s="1" t="s">
        <v>17</v>
      </c>
      <c r="H105" s="1" t="s">
        <v>18</v>
      </c>
      <c r="I105" s="1" t="s">
        <v>30</v>
      </c>
      <c r="J105" s="1" t="s">
        <v>20</v>
      </c>
      <c r="K105" s="2" t="s">
        <v>20</v>
      </c>
      <c r="L105" s="6">
        <v>47</v>
      </c>
      <c r="M105" s="2">
        <v>0</v>
      </c>
      <c r="N105" s="6" t="s">
        <v>31</v>
      </c>
      <c r="O105" s="2" t="s">
        <v>32</v>
      </c>
      <c r="P105" s="8">
        <v>0</v>
      </c>
    </row>
    <row r="106" spans="1:16" x14ac:dyDescent="0.3">
      <c r="A106" s="16"/>
      <c r="B106" s="1">
        <v>105</v>
      </c>
      <c r="C106" s="1" t="s">
        <v>14</v>
      </c>
      <c r="D106" s="1">
        <v>57011994</v>
      </c>
      <c r="E106" s="1" t="s">
        <v>110</v>
      </c>
      <c r="F106" s="1" t="s">
        <v>111</v>
      </c>
      <c r="G106" s="1" t="s">
        <v>17</v>
      </c>
      <c r="H106" s="1" t="s">
        <v>18</v>
      </c>
      <c r="I106" s="1" t="s">
        <v>30</v>
      </c>
      <c r="J106" s="1" t="s">
        <v>1015</v>
      </c>
      <c r="K106" s="2" t="s">
        <v>1015</v>
      </c>
      <c r="L106" s="6">
        <v>71</v>
      </c>
      <c r="M106" s="2">
        <v>0</v>
      </c>
      <c r="N106" s="6" t="s">
        <v>31</v>
      </c>
      <c r="O106" s="2" t="s">
        <v>32</v>
      </c>
      <c r="P106" s="8">
        <v>0</v>
      </c>
    </row>
    <row r="107" spans="1:16" x14ac:dyDescent="0.3">
      <c r="A107" s="16"/>
      <c r="B107" s="1">
        <v>106</v>
      </c>
      <c r="C107" s="1" t="s">
        <v>179</v>
      </c>
      <c r="D107" s="1">
        <v>2080079699</v>
      </c>
      <c r="E107" s="1" t="s">
        <v>942</v>
      </c>
      <c r="F107" s="1" t="s">
        <v>194</v>
      </c>
      <c r="G107" s="1" t="s">
        <v>17</v>
      </c>
      <c r="H107" s="1" t="s">
        <v>18</v>
      </c>
      <c r="I107" s="1" t="s">
        <v>19</v>
      </c>
      <c r="J107" s="1" t="s">
        <v>20</v>
      </c>
      <c r="K107" s="2" t="s">
        <v>20</v>
      </c>
      <c r="L107" s="6">
        <v>35</v>
      </c>
      <c r="M107" s="2">
        <v>4.8099999999999996</v>
      </c>
      <c r="N107" s="6" t="s">
        <v>21</v>
      </c>
      <c r="O107" s="2" t="s">
        <v>22</v>
      </c>
      <c r="P107" s="8">
        <v>135000</v>
      </c>
    </row>
    <row r="108" spans="1:16" x14ac:dyDescent="0.3">
      <c r="A108" s="16"/>
      <c r="B108" s="1">
        <v>107</v>
      </c>
      <c r="C108" s="1" t="s">
        <v>14</v>
      </c>
      <c r="D108" s="1">
        <v>57019119</v>
      </c>
      <c r="E108" s="1" t="s">
        <v>112</v>
      </c>
      <c r="F108" s="1" t="s">
        <v>113</v>
      </c>
      <c r="G108" s="1" t="s">
        <v>17</v>
      </c>
      <c r="H108" s="1" t="s">
        <v>18</v>
      </c>
      <c r="I108" s="1" t="s">
        <v>35</v>
      </c>
      <c r="J108" s="1" t="s">
        <v>1015</v>
      </c>
      <c r="K108" s="2" t="s">
        <v>1015</v>
      </c>
      <c r="L108" s="6">
        <v>51</v>
      </c>
      <c r="M108" s="2">
        <v>2.4700000000000002</v>
      </c>
      <c r="N108" s="6" t="s">
        <v>21</v>
      </c>
      <c r="O108" s="2" t="s">
        <v>22</v>
      </c>
      <c r="P108" s="8">
        <v>56000</v>
      </c>
    </row>
    <row r="109" spans="1:16" x14ac:dyDescent="0.3">
      <c r="A109" s="16"/>
      <c r="B109" s="1">
        <v>108</v>
      </c>
      <c r="C109" s="1" t="s">
        <v>179</v>
      </c>
      <c r="D109" s="1">
        <v>2080079416</v>
      </c>
      <c r="E109" s="1" t="s">
        <v>943</v>
      </c>
      <c r="F109" s="1" t="s">
        <v>944</v>
      </c>
      <c r="G109" s="1" t="s">
        <v>17</v>
      </c>
      <c r="H109" s="1" t="s">
        <v>25</v>
      </c>
      <c r="I109" s="1" t="s">
        <v>216</v>
      </c>
      <c r="J109" s="1" t="s">
        <v>20</v>
      </c>
      <c r="K109" s="2" t="s">
        <v>20</v>
      </c>
      <c r="L109" s="6">
        <v>41</v>
      </c>
      <c r="M109" s="2">
        <v>1.28</v>
      </c>
      <c r="N109" s="6" t="s">
        <v>21</v>
      </c>
      <c r="O109" s="2" t="s">
        <v>41</v>
      </c>
      <c r="P109" s="8">
        <v>34000</v>
      </c>
    </row>
    <row r="110" spans="1:16" x14ac:dyDescent="0.3">
      <c r="A110" s="16"/>
      <c r="B110" s="1">
        <v>109</v>
      </c>
      <c r="C110" s="1" t="s">
        <v>14</v>
      </c>
      <c r="D110" s="1">
        <v>56003521</v>
      </c>
      <c r="E110" s="1" t="s">
        <v>114</v>
      </c>
      <c r="F110" s="1" t="s">
        <v>115</v>
      </c>
      <c r="G110" s="1" t="s">
        <v>17</v>
      </c>
      <c r="H110" s="1" t="s">
        <v>18</v>
      </c>
      <c r="I110" s="1" t="s">
        <v>30</v>
      </c>
      <c r="J110" s="1" t="s">
        <v>1015</v>
      </c>
      <c r="K110" s="2" t="s">
        <v>1015</v>
      </c>
      <c r="L110" s="6">
        <v>71</v>
      </c>
      <c r="M110" s="2">
        <v>0</v>
      </c>
      <c r="N110" s="6" t="s">
        <v>31</v>
      </c>
      <c r="O110" s="2" t="s">
        <v>32</v>
      </c>
      <c r="P110" s="8">
        <v>0</v>
      </c>
    </row>
    <row r="111" spans="1:16" x14ac:dyDescent="0.3">
      <c r="A111" s="16"/>
      <c r="B111" s="1">
        <v>110</v>
      </c>
      <c r="C111" s="1" t="s">
        <v>179</v>
      </c>
      <c r="D111" s="1">
        <v>2251871569</v>
      </c>
      <c r="E111" s="1" t="s">
        <v>1046</v>
      </c>
      <c r="F111" s="1" t="s">
        <v>1220</v>
      </c>
      <c r="G111" s="1" t="s">
        <v>17</v>
      </c>
      <c r="H111" s="1" t="s">
        <v>18</v>
      </c>
      <c r="I111" s="1" t="s">
        <v>19</v>
      </c>
      <c r="J111" s="1" t="s">
        <v>1015</v>
      </c>
      <c r="K111" s="2" t="s">
        <v>1015</v>
      </c>
      <c r="L111" s="6">
        <v>65</v>
      </c>
      <c r="M111" s="2">
        <v>4.49</v>
      </c>
      <c r="N111" s="6" t="s">
        <v>21</v>
      </c>
      <c r="O111" s="2" t="s">
        <v>55</v>
      </c>
      <c r="P111" s="8">
        <v>162000</v>
      </c>
    </row>
    <row r="112" spans="1:16" x14ac:dyDescent="0.3">
      <c r="A112" s="16"/>
      <c r="B112" s="1">
        <v>111</v>
      </c>
      <c r="C112" s="1" t="s">
        <v>14</v>
      </c>
      <c r="D112" s="1">
        <v>56006777</v>
      </c>
      <c r="E112" s="1" t="s">
        <v>116</v>
      </c>
      <c r="F112" s="1" t="s">
        <v>117</v>
      </c>
      <c r="G112" s="1" t="s">
        <v>17</v>
      </c>
      <c r="H112" s="1" t="s">
        <v>18</v>
      </c>
      <c r="I112" s="1" t="s">
        <v>19</v>
      </c>
      <c r="J112" s="1" t="s">
        <v>1015</v>
      </c>
      <c r="K112" s="2" t="s">
        <v>1015</v>
      </c>
      <c r="L112" s="6">
        <v>36</v>
      </c>
      <c r="M112" s="2">
        <v>3.5</v>
      </c>
      <c r="N112" s="6" t="s">
        <v>21</v>
      </c>
      <c r="O112" s="2" t="s">
        <v>22</v>
      </c>
      <c r="P112" s="8">
        <v>92000</v>
      </c>
    </row>
    <row r="113" spans="1:16" x14ac:dyDescent="0.3">
      <c r="A113" s="16"/>
      <c r="B113" s="1">
        <v>112</v>
      </c>
      <c r="C113" s="1" t="s">
        <v>179</v>
      </c>
      <c r="D113" s="1">
        <v>1950669306</v>
      </c>
      <c r="E113" s="1" t="s">
        <v>1047</v>
      </c>
      <c r="F113" s="1" t="s">
        <v>350</v>
      </c>
      <c r="G113" s="1" t="s">
        <v>17</v>
      </c>
      <c r="H113" s="1" t="s">
        <v>18</v>
      </c>
      <c r="I113" s="1" t="s">
        <v>30</v>
      </c>
      <c r="J113" s="1" t="s">
        <v>20</v>
      </c>
      <c r="K113" s="2" t="s">
        <v>20</v>
      </c>
      <c r="L113" s="6">
        <v>45</v>
      </c>
      <c r="M113" s="2">
        <v>0</v>
      </c>
      <c r="N113" s="6" t="s">
        <v>31</v>
      </c>
      <c r="O113" s="2" t="s">
        <v>32</v>
      </c>
      <c r="P113" s="8">
        <v>0</v>
      </c>
    </row>
    <row r="114" spans="1:16" x14ac:dyDescent="0.3">
      <c r="A114" s="16"/>
      <c r="B114" s="1">
        <v>113</v>
      </c>
      <c r="C114" s="1" t="s">
        <v>14</v>
      </c>
      <c r="D114" s="1">
        <v>55973005</v>
      </c>
      <c r="E114" s="1" t="s">
        <v>118</v>
      </c>
      <c r="F114" s="1" t="s">
        <v>119</v>
      </c>
      <c r="G114" s="1" t="s">
        <v>17</v>
      </c>
      <c r="H114" s="1" t="s">
        <v>18</v>
      </c>
      <c r="I114" s="1" t="s">
        <v>120</v>
      </c>
      <c r="J114" s="1" t="s">
        <v>1015</v>
      </c>
      <c r="K114" s="2" t="s">
        <v>1015</v>
      </c>
      <c r="L114" s="6">
        <v>58</v>
      </c>
      <c r="M114" s="2">
        <v>1.85</v>
      </c>
      <c r="N114" s="6" t="s">
        <v>21</v>
      </c>
      <c r="O114" s="2" t="s">
        <v>22</v>
      </c>
      <c r="P114" s="8">
        <v>65000</v>
      </c>
    </row>
    <row r="115" spans="1:16" x14ac:dyDescent="0.3">
      <c r="A115" s="16"/>
      <c r="B115" s="1">
        <v>114</v>
      </c>
      <c r="C115" s="1" t="s">
        <v>179</v>
      </c>
      <c r="D115" s="1">
        <v>2080980042</v>
      </c>
      <c r="E115" s="1" t="s">
        <v>945</v>
      </c>
      <c r="F115" s="1" t="s">
        <v>1221</v>
      </c>
      <c r="G115" s="1" t="s">
        <v>17</v>
      </c>
      <c r="H115" s="1" t="s">
        <v>25</v>
      </c>
      <c r="I115" s="1" t="s">
        <v>216</v>
      </c>
      <c r="J115" s="1" t="s">
        <v>20</v>
      </c>
      <c r="K115" s="2" t="s">
        <v>20</v>
      </c>
      <c r="L115" s="6">
        <v>72</v>
      </c>
      <c r="M115" s="2">
        <v>1.02</v>
      </c>
      <c r="N115" s="6" t="s">
        <v>21</v>
      </c>
      <c r="O115" s="2" t="s">
        <v>22</v>
      </c>
      <c r="P115" s="8">
        <v>59000</v>
      </c>
    </row>
    <row r="116" spans="1:16" x14ac:dyDescent="0.3">
      <c r="A116" s="16"/>
      <c r="B116" s="1">
        <v>115</v>
      </c>
      <c r="C116" s="1" t="s">
        <v>14</v>
      </c>
      <c r="D116" s="1">
        <v>57031098</v>
      </c>
      <c r="E116" s="1" t="s">
        <v>121</v>
      </c>
      <c r="F116" s="1" t="s">
        <v>122</v>
      </c>
      <c r="G116" s="1" t="s">
        <v>17</v>
      </c>
      <c r="H116" s="1" t="s">
        <v>18</v>
      </c>
      <c r="I116" s="1" t="s">
        <v>30</v>
      </c>
      <c r="J116" s="1" t="s">
        <v>1015</v>
      </c>
      <c r="K116" s="2" t="s">
        <v>1015</v>
      </c>
      <c r="L116" s="6">
        <v>62</v>
      </c>
      <c r="M116" s="2">
        <v>0</v>
      </c>
      <c r="N116" s="6" t="s">
        <v>31</v>
      </c>
      <c r="O116" s="2" t="s">
        <v>32</v>
      </c>
      <c r="P116" s="8">
        <v>0</v>
      </c>
    </row>
    <row r="117" spans="1:16" x14ac:dyDescent="0.3">
      <c r="A117" s="16"/>
      <c r="B117" s="1">
        <v>116</v>
      </c>
      <c r="C117" s="1" t="s">
        <v>179</v>
      </c>
      <c r="D117" s="1">
        <v>2080080358</v>
      </c>
      <c r="E117" s="1" t="s">
        <v>946</v>
      </c>
      <c r="F117" s="1" t="s">
        <v>922</v>
      </c>
      <c r="G117" s="1" t="s">
        <v>17</v>
      </c>
      <c r="H117" s="1" t="s">
        <v>18</v>
      </c>
      <c r="I117" s="1" t="s">
        <v>184</v>
      </c>
      <c r="J117" s="1" t="s">
        <v>20</v>
      </c>
      <c r="K117" s="2" t="s">
        <v>20</v>
      </c>
      <c r="L117" s="6">
        <v>37</v>
      </c>
      <c r="M117" s="2">
        <v>1.94</v>
      </c>
      <c r="N117" s="6" t="s">
        <v>21</v>
      </c>
      <c r="O117" s="2" t="s">
        <v>27</v>
      </c>
      <c r="P117" s="8">
        <v>71000</v>
      </c>
    </row>
    <row r="118" spans="1:16" x14ac:dyDescent="0.3">
      <c r="A118" s="16"/>
      <c r="B118" s="1">
        <v>117</v>
      </c>
      <c r="C118" s="1" t="s">
        <v>14</v>
      </c>
      <c r="D118" s="1">
        <v>57022844</v>
      </c>
      <c r="E118" s="1" t="s">
        <v>123</v>
      </c>
      <c r="F118" s="1" t="s">
        <v>124</v>
      </c>
      <c r="G118" s="1" t="s">
        <v>17</v>
      </c>
      <c r="H118" s="1" t="s">
        <v>18</v>
      </c>
      <c r="I118" s="1" t="s">
        <v>26</v>
      </c>
      <c r="J118" s="1" t="s">
        <v>1015</v>
      </c>
      <c r="K118" s="2" t="s">
        <v>1015</v>
      </c>
      <c r="L118" s="6">
        <v>69</v>
      </c>
      <c r="M118" s="2">
        <v>1.8</v>
      </c>
      <c r="N118" s="6" t="s">
        <v>21</v>
      </c>
      <c r="O118" s="2" t="s">
        <v>22</v>
      </c>
      <c r="P118" s="8">
        <v>76000</v>
      </c>
    </row>
    <row r="119" spans="1:16" x14ac:dyDescent="0.3">
      <c r="A119" s="16"/>
      <c r="B119" s="1">
        <v>118</v>
      </c>
      <c r="C119" s="1" t="s">
        <v>179</v>
      </c>
      <c r="D119" s="1">
        <v>2080079348</v>
      </c>
      <c r="E119" s="1" t="s">
        <v>947</v>
      </c>
      <c r="F119" s="1" t="s">
        <v>948</v>
      </c>
      <c r="G119" s="1" t="s">
        <v>17</v>
      </c>
      <c r="H119" s="1" t="s">
        <v>25</v>
      </c>
      <c r="I119" s="1" t="s">
        <v>26</v>
      </c>
      <c r="J119" s="1" t="s">
        <v>20</v>
      </c>
      <c r="K119" s="2" t="s">
        <v>20</v>
      </c>
      <c r="L119" s="6">
        <v>85</v>
      </c>
      <c r="M119" s="2">
        <v>3.33</v>
      </c>
      <c r="N119" s="6" t="s">
        <v>36</v>
      </c>
      <c r="O119" s="2" t="s">
        <v>22</v>
      </c>
      <c r="P119" s="8">
        <v>88000</v>
      </c>
    </row>
    <row r="120" spans="1:16" x14ac:dyDescent="0.3">
      <c r="A120" s="16"/>
      <c r="B120" s="1">
        <v>119</v>
      </c>
      <c r="C120" s="1" t="s">
        <v>14</v>
      </c>
      <c r="D120" s="1">
        <v>57022315</v>
      </c>
      <c r="E120" s="1" t="s">
        <v>125</v>
      </c>
      <c r="F120" s="1" t="s">
        <v>124</v>
      </c>
      <c r="G120" s="1" t="s">
        <v>17</v>
      </c>
      <c r="H120" s="1" t="s">
        <v>18</v>
      </c>
      <c r="I120" s="1" t="s">
        <v>19</v>
      </c>
      <c r="J120" s="1" t="s">
        <v>20</v>
      </c>
      <c r="K120" s="2" t="s">
        <v>20</v>
      </c>
      <c r="L120" s="6">
        <v>45</v>
      </c>
      <c r="M120" s="2">
        <v>1.29</v>
      </c>
      <c r="N120" s="6" t="s">
        <v>21</v>
      </c>
      <c r="O120" s="2" t="s">
        <v>41</v>
      </c>
      <c r="P120" s="8">
        <v>34000</v>
      </c>
    </row>
    <row r="121" spans="1:16" x14ac:dyDescent="0.3">
      <c r="A121" s="16"/>
      <c r="B121" s="1">
        <v>120</v>
      </c>
      <c r="C121" s="1" t="s">
        <v>179</v>
      </c>
      <c r="D121" s="1">
        <v>2080080799</v>
      </c>
      <c r="E121" s="1" t="s">
        <v>949</v>
      </c>
      <c r="F121" s="1" t="s">
        <v>950</v>
      </c>
      <c r="G121" s="1" t="s">
        <v>88</v>
      </c>
      <c r="H121" s="1" t="s">
        <v>18</v>
      </c>
      <c r="I121" s="1" t="s">
        <v>120</v>
      </c>
      <c r="J121" s="1" t="s">
        <v>20</v>
      </c>
      <c r="K121" s="2" t="s">
        <v>20</v>
      </c>
      <c r="L121" s="6">
        <v>84</v>
      </c>
      <c r="M121" s="2">
        <v>3.17</v>
      </c>
      <c r="N121" s="6" t="s">
        <v>21</v>
      </c>
      <c r="O121" s="2" t="s">
        <v>41</v>
      </c>
      <c r="P121" s="8">
        <v>152000</v>
      </c>
    </row>
    <row r="122" spans="1:16" x14ac:dyDescent="0.3">
      <c r="A122" s="16"/>
      <c r="B122" s="1">
        <v>121</v>
      </c>
      <c r="C122" s="1" t="s">
        <v>14</v>
      </c>
      <c r="D122" s="1">
        <v>57027087</v>
      </c>
      <c r="E122" s="1" t="s">
        <v>126</v>
      </c>
      <c r="F122" s="1" t="s">
        <v>127</v>
      </c>
      <c r="G122" s="1" t="s">
        <v>17</v>
      </c>
      <c r="H122" s="1" t="s">
        <v>18</v>
      </c>
      <c r="I122" s="1" t="s">
        <v>30</v>
      </c>
      <c r="J122" s="1" t="s">
        <v>20</v>
      </c>
      <c r="K122" s="2" t="s">
        <v>20</v>
      </c>
      <c r="L122" s="6">
        <v>57</v>
      </c>
      <c r="M122" s="2">
        <v>0</v>
      </c>
      <c r="N122" s="6" t="s">
        <v>31</v>
      </c>
      <c r="O122" s="2" t="s">
        <v>32</v>
      </c>
      <c r="P122" s="8">
        <v>0</v>
      </c>
    </row>
    <row r="123" spans="1:16" x14ac:dyDescent="0.3">
      <c r="A123" s="16"/>
      <c r="B123" s="1">
        <v>122</v>
      </c>
      <c r="C123" s="1" t="s">
        <v>179</v>
      </c>
      <c r="D123" s="1">
        <v>2251034095</v>
      </c>
      <c r="E123" s="1" t="s">
        <v>1048</v>
      </c>
      <c r="F123" s="1" t="s">
        <v>1222</v>
      </c>
      <c r="G123" s="1" t="s">
        <v>17</v>
      </c>
      <c r="H123" s="1" t="s">
        <v>18</v>
      </c>
      <c r="I123" s="1" t="s">
        <v>30</v>
      </c>
      <c r="J123" s="1" t="s">
        <v>1015</v>
      </c>
      <c r="K123" s="2" t="s">
        <v>1015</v>
      </c>
      <c r="L123" s="6">
        <v>83</v>
      </c>
      <c r="M123" s="2">
        <v>0</v>
      </c>
      <c r="N123" s="6" t="s">
        <v>31</v>
      </c>
      <c r="O123" s="2" t="s">
        <v>32</v>
      </c>
      <c r="P123" s="8">
        <v>0</v>
      </c>
    </row>
    <row r="124" spans="1:16" x14ac:dyDescent="0.3">
      <c r="A124" s="16"/>
      <c r="B124" s="1">
        <v>123</v>
      </c>
      <c r="C124" s="1" t="s">
        <v>14</v>
      </c>
      <c r="D124" s="1">
        <v>57032720</v>
      </c>
      <c r="E124" s="1" t="s">
        <v>1049</v>
      </c>
      <c r="F124" s="1" t="s">
        <v>1223</v>
      </c>
      <c r="G124" s="1" t="s">
        <v>17</v>
      </c>
      <c r="H124" s="1" t="s">
        <v>18</v>
      </c>
      <c r="I124" s="1" t="s">
        <v>30</v>
      </c>
      <c r="J124" s="1" t="s">
        <v>20</v>
      </c>
      <c r="K124" s="2" t="s">
        <v>20</v>
      </c>
      <c r="L124" s="6">
        <v>47</v>
      </c>
      <c r="M124" s="2">
        <v>0</v>
      </c>
      <c r="N124" s="6" t="s">
        <v>31</v>
      </c>
      <c r="O124" s="2" t="s">
        <v>32</v>
      </c>
      <c r="P124" s="8">
        <v>0</v>
      </c>
    </row>
    <row r="125" spans="1:16" x14ac:dyDescent="0.3">
      <c r="A125" s="16"/>
      <c r="B125" s="1">
        <v>124</v>
      </c>
      <c r="C125" s="1" t="s">
        <v>179</v>
      </c>
      <c r="D125" s="1">
        <v>1950681094</v>
      </c>
      <c r="E125" s="1" t="s">
        <v>1050</v>
      </c>
      <c r="F125" s="1" t="s">
        <v>1224</v>
      </c>
      <c r="G125" s="1" t="s">
        <v>17</v>
      </c>
      <c r="H125" s="1" t="s">
        <v>25</v>
      </c>
      <c r="I125" s="1" t="s">
        <v>216</v>
      </c>
      <c r="J125" s="1" t="s">
        <v>20</v>
      </c>
      <c r="K125" s="2" t="s">
        <v>1015</v>
      </c>
      <c r="L125" s="6">
        <v>57</v>
      </c>
      <c r="M125" s="2">
        <v>0.59</v>
      </c>
      <c r="N125" s="6" t="s">
        <v>58</v>
      </c>
      <c r="O125" s="2" t="s">
        <v>22</v>
      </c>
      <c r="P125" s="8">
        <v>21000</v>
      </c>
    </row>
    <row r="126" spans="1:16" x14ac:dyDescent="0.3">
      <c r="A126" s="16"/>
      <c r="B126" s="1">
        <v>125</v>
      </c>
      <c r="C126" s="1" t="s">
        <v>14</v>
      </c>
      <c r="D126" s="1">
        <v>57023359</v>
      </c>
      <c r="E126" s="1" t="s">
        <v>128</v>
      </c>
      <c r="F126" s="1" t="s">
        <v>129</v>
      </c>
      <c r="G126" s="1" t="s">
        <v>17</v>
      </c>
      <c r="H126" s="1" t="s">
        <v>18</v>
      </c>
      <c r="I126" s="1" t="s">
        <v>30</v>
      </c>
      <c r="J126" s="1" t="s">
        <v>1015</v>
      </c>
      <c r="K126" s="2" t="s">
        <v>1015</v>
      </c>
      <c r="L126" s="6">
        <v>69</v>
      </c>
      <c r="M126" s="2">
        <v>0</v>
      </c>
      <c r="N126" s="6" t="s">
        <v>31</v>
      </c>
      <c r="O126" s="2" t="s">
        <v>32</v>
      </c>
      <c r="P126" s="8">
        <v>0</v>
      </c>
    </row>
    <row r="127" spans="1:16" x14ac:dyDescent="0.3">
      <c r="A127" s="16"/>
      <c r="B127" s="1">
        <v>126</v>
      </c>
      <c r="C127" s="1" t="s">
        <v>179</v>
      </c>
      <c r="D127" s="1">
        <v>2080078966</v>
      </c>
      <c r="E127" s="1" t="s">
        <v>951</v>
      </c>
      <c r="F127" s="1" t="s">
        <v>952</v>
      </c>
      <c r="G127" s="1" t="s">
        <v>17</v>
      </c>
      <c r="H127" s="1" t="s">
        <v>18</v>
      </c>
      <c r="I127" s="1" t="s">
        <v>30</v>
      </c>
      <c r="J127" s="1" t="s">
        <v>20</v>
      </c>
      <c r="K127" s="2" t="s">
        <v>20</v>
      </c>
      <c r="L127" s="6">
        <v>83</v>
      </c>
      <c r="M127" s="2">
        <v>0</v>
      </c>
      <c r="N127" s="6" t="s">
        <v>31</v>
      </c>
      <c r="O127" s="2" t="s">
        <v>32</v>
      </c>
      <c r="P127" s="8">
        <v>0</v>
      </c>
    </row>
    <row r="128" spans="1:16" x14ac:dyDescent="0.3">
      <c r="A128" s="16"/>
      <c r="B128" s="1">
        <v>127</v>
      </c>
      <c r="C128" s="1" t="s">
        <v>14</v>
      </c>
      <c r="D128" s="1">
        <v>57031756</v>
      </c>
      <c r="E128" s="1" t="s">
        <v>130</v>
      </c>
      <c r="F128" s="1" t="s">
        <v>94</v>
      </c>
      <c r="G128" s="1" t="s">
        <v>17</v>
      </c>
      <c r="H128" s="1" t="s">
        <v>18</v>
      </c>
      <c r="I128" s="1" t="s">
        <v>30</v>
      </c>
      <c r="J128" s="1" t="s">
        <v>20</v>
      </c>
      <c r="K128" s="2" t="s">
        <v>20</v>
      </c>
      <c r="L128" s="6">
        <v>72</v>
      </c>
      <c r="M128" s="2">
        <v>0</v>
      </c>
      <c r="N128" s="6" t="s">
        <v>31</v>
      </c>
      <c r="O128" s="2" t="s">
        <v>32</v>
      </c>
      <c r="P128" s="8">
        <v>0</v>
      </c>
    </row>
    <row r="129" spans="1:16" x14ac:dyDescent="0.3">
      <c r="A129" s="16"/>
      <c r="B129" s="1">
        <v>128</v>
      </c>
      <c r="C129" s="1" t="s">
        <v>179</v>
      </c>
      <c r="D129" s="1">
        <v>2080079620</v>
      </c>
      <c r="E129" s="1" t="s">
        <v>953</v>
      </c>
      <c r="F129" s="1" t="s">
        <v>954</v>
      </c>
      <c r="G129" s="1" t="s">
        <v>17</v>
      </c>
      <c r="H129" s="1" t="s">
        <v>25</v>
      </c>
      <c r="I129" s="1" t="s">
        <v>184</v>
      </c>
      <c r="J129" s="1" t="s">
        <v>20</v>
      </c>
      <c r="K129" s="2" t="s">
        <v>20</v>
      </c>
      <c r="L129" s="6">
        <v>46</v>
      </c>
      <c r="M129" s="2">
        <v>1.53</v>
      </c>
      <c r="N129" s="6" t="s">
        <v>21</v>
      </c>
      <c r="O129" s="2" t="s">
        <v>41</v>
      </c>
      <c r="P129" s="8">
        <v>46000</v>
      </c>
    </row>
    <row r="130" spans="1:16" x14ac:dyDescent="0.3">
      <c r="A130" s="16"/>
      <c r="B130" s="1">
        <v>129</v>
      </c>
      <c r="C130" s="1" t="s">
        <v>14</v>
      </c>
      <c r="D130" s="1">
        <v>55990464</v>
      </c>
      <c r="E130" s="1" t="s">
        <v>131</v>
      </c>
      <c r="F130" s="1" t="s">
        <v>45</v>
      </c>
      <c r="G130" s="1" t="s">
        <v>17</v>
      </c>
      <c r="H130" s="1" t="s">
        <v>18</v>
      </c>
      <c r="I130" s="1" t="s">
        <v>30</v>
      </c>
      <c r="J130" s="1" t="s">
        <v>1015</v>
      </c>
      <c r="K130" s="2" t="s">
        <v>1015</v>
      </c>
      <c r="L130" s="6">
        <v>67</v>
      </c>
      <c r="M130" s="2">
        <v>0</v>
      </c>
      <c r="N130" s="6" t="s">
        <v>31</v>
      </c>
      <c r="O130" s="2" t="s">
        <v>32</v>
      </c>
      <c r="P130" s="8">
        <v>0</v>
      </c>
    </row>
    <row r="131" spans="1:16" x14ac:dyDescent="0.3">
      <c r="A131" s="16"/>
      <c r="B131" s="1">
        <v>130</v>
      </c>
      <c r="C131" s="1" t="s">
        <v>179</v>
      </c>
      <c r="D131" s="1">
        <v>1950688973</v>
      </c>
      <c r="E131" s="1" t="s">
        <v>1051</v>
      </c>
      <c r="F131" s="1" t="s">
        <v>1225</v>
      </c>
      <c r="G131" s="1" t="s">
        <v>17</v>
      </c>
      <c r="H131" s="1" t="s">
        <v>25</v>
      </c>
      <c r="I131" s="1" t="s">
        <v>216</v>
      </c>
      <c r="J131" s="1" t="s">
        <v>20</v>
      </c>
      <c r="K131" s="2" t="s">
        <v>1015</v>
      </c>
      <c r="L131" s="6">
        <v>61</v>
      </c>
      <c r="M131" s="2">
        <v>0.7</v>
      </c>
      <c r="N131" s="6" t="s">
        <v>21</v>
      </c>
      <c r="O131" s="2" t="s">
        <v>41</v>
      </c>
      <c r="P131" s="8">
        <v>16000</v>
      </c>
    </row>
    <row r="132" spans="1:16" x14ac:dyDescent="0.3">
      <c r="A132" s="16"/>
      <c r="B132" s="1">
        <v>131</v>
      </c>
      <c r="C132" s="1" t="s">
        <v>14</v>
      </c>
      <c r="D132" s="1">
        <v>55984672</v>
      </c>
      <c r="E132" s="1" t="s">
        <v>132</v>
      </c>
      <c r="F132" s="1" t="s">
        <v>109</v>
      </c>
      <c r="G132" s="1" t="s">
        <v>17</v>
      </c>
      <c r="H132" s="1" t="s">
        <v>18</v>
      </c>
      <c r="I132" s="1" t="s">
        <v>30</v>
      </c>
      <c r="J132" s="1" t="s">
        <v>1015</v>
      </c>
      <c r="K132" s="2" t="s">
        <v>1015</v>
      </c>
      <c r="L132" s="6">
        <v>34</v>
      </c>
      <c r="M132" s="2">
        <v>0</v>
      </c>
      <c r="N132" s="6" t="s">
        <v>31</v>
      </c>
      <c r="O132" s="2" t="s">
        <v>32</v>
      </c>
      <c r="P132" s="8">
        <v>0</v>
      </c>
    </row>
    <row r="133" spans="1:16" x14ac:dyDescent="0.3">
      <c r="A133" s="16"/>
      <c r="B133" s="1">
        <v>132</v>
      </c>
      <c r="C133" s="1" t="s">
        <v>179</v>
      </c>
      <c r="D133" s="1">
        <v>2080078338</v>
      </c>
      <c r="E133" s="1" t="s">
        <v>955</v>
      </c>
      <c r="F133" s="1" t="s">
        <v>649</v>
      </c>
      <c r="G133" s="1" t="s">
        <v>17</v>
      </c>
      <c r="H133" s="1" t="s">
        <v>18</v>
      </c>
      <c r="I133" s="1" t="s">
        <v>19</v>
      </c>
      <c r="J133" s="1" t="s">
        <v>20</v>
      </c>
      <c r="K133" s="2" t="s">
        <v>20</v>
      </c>
      <c r="L133" s="6">
        <v>67</v>
      </c>
      <c r="M133" s="2">
        <v>4.71</v>
      </c>
      <c r="N133" s="6" t="s">
        <v>21</v>
      </c>
      <c r="O133" s="2" t="s">
        <v>22</v>
      </c>
      <c r="P133" s="8">
        <v>258000</v>
      </c>
    </row>
    <row r="134" spans="1:16" x14ac:dyDescent="0.3">
      <c r="A134" s="16"/>
      <c r="B134" s="1">
        <v>133</v>
      </c>
      <c r="C134" s="1" t="s">
        <v>14</v>
      </c>
      <c r="D134" s="1">
        <v>55987834</v>
      </c>
      <c r="E134" s="1" t="s">
        <v>133</v>
      </c>
      <c r="F134" s="1" t="s">
        <v>134</v>
      </c>
      <c r="G134" s="1" t="s">
        <v>17</v>
      </c>
      <c r="H134" s="1" t="s">
        <v>18</v>
      </c>
      <c r="I134" s="1" t="s">
        <v>19</v>
      </c>
      <c r="J134" s="1" t="s">
        <v>1015</v>
      </c>
      <c r="K134" s="2" t="s">
        <v>1015</v>
      </c>
      <c r="L134" s="6">
        <v>63</v>
      </c>
      <c r="M134" s="2">
        <v>2.56</v>
      </c>
      <c r="N134" s="6" t="s">
        <v>58</v>
      </c>
      <c r="O134" s="2" t="s">
        <v>22</v>
      </c>
      <c r="P134" s="8">
        <v>99000</v>
      </c>
    </row>
    <row r="135" spans="1:16" x14ac:dyDescent="0.3">
      <c r="A135" s="16"/>
      <c r="B135" s="1">
        <v>134</v>
      </c>
      <c r="C135" s="1" t="s">
        <v>179</v>
      </c>
      <c r="D135" s="1">
        <v>1950670602</v>
      </c>
      <c r="E135" s="1" t="s">
        <v>1052</v>
      </c>
      <c r="F135" s="1" t="s">
        <v>1226</v>
      </c>
      <c r="G135" s="1" t="s">
        <v>88</v>
      </c>
      <c r="H135" s="1" t="s">
        <v>18</v>
      </c>
      <c r="I135" s="1" t="s">
        <v>120</v>
      </c>
      <c r="J135" s="1" t="s">
        <v>20</v>
      </c>
      <c r="K135" s="2" t="s">
        <v>20</v>
      </c>
      <c r="L135" s="6">
        <v>74</v>
      </c>
      <c r="M135" s="2">
        <v>6.2</v>
      </c>
      <c r="N135" s="6" t="s">
        <v>58</v>
      </c>
      <c r="O135" s="2" t="s">
        <v>195</v>
      </c>
      <c r="P135" s="8">
        <v>275000</v>
      </c>
    </row>
    <row r="136" spans="1:16" x14ac:dyDescent="0.3">
      <c r="A136" s="16"/>
      <c r="B136" s="1">
        <v>135</v>
      </c>
      <c r="C136" s="1" t="s">
        <v>14</v>
      </c>
      <c r="D136" s="1">
        <v>55985173</v>
      </c>
      <c r="E136" s="1" t="s">
        <v>135</v>
      </c>
      <c r="F136" s="1" t="s">
        <v>136</v>
      </c>
      <c r="G136" s="1" t="s">
        <v>17</v>
      </c>
      <c r="H136" s="1" t="s">
        <v>18</v>
      </c>
      <c r="I136" s="1" t="s">
        <v>30</v>
      </c>
      <c r="J136" s="1" t="s">
        <v>20</v>
      </c>
      <c r="K136" s="2" t="s">
        <v>20</v>
      </c>
      <c r="L136" s="6">
        <v>75</v>
      </c>
      <c r="M136" s="2">
        <v>0</v>
      </c>
      <c r="N136" s="6" t="s">
        <v>31</v>
      </c>
      <c r="O136" s="2" t="s">
        <v>32</v>
      </c>
      <c r="P136" s="8">
        <v>0</v>
      </c>
    </row>
    <row r="137" spans="1:16" x14ac:dyDescent="0.3">
      <c r="A137" s="16"/>
      <c r="B137" s="1">
        <v>136</v>
      </c>
      <c r="C137" s="1" t="s">
        <v>179</v>
      </c>
      <c r="D137" s="1">
        <v>2080074476</v>
      </c>
      <c r="E137" s="1" t="s">
        <v>956</v>
      </c>
      <c r="F137" s="1" t="s">
        <v>957</v>
      </c>
      <c r="G137" s="1" t="s">
        <v>88</v>
      </c>
      <c r="H137" s="1" t="s">
        <v>25</v>
      </c>
      <c r="I137" s="1" t="s">
        <v>216</v>
      </c>
      <c r="J137" s="1" t="s">
        <v>20</v>
      </c>
      <c r="K137" s="2" t="s">
        <v>20</v>
      </c>
      <c r="L137" s="6">
        <v>84</v>
      </c>
      <c r="M137" s="2">
        <v>2.94</v>
      </c>
      <c r="N137" s="6" t="s">
        <v>58</v>
      </c>
      <c r="O137" s="2" t="s">
        <v>195</v>
      </c>
      <c r="P137" s="8">
        <v>75000</v>
      </c>
    </row>
    <row r="138" spans="1:16" x14ac:dyDescent="0.3">
      <c r="A138" s="16"/>
      <c r="B138" s="1">
        <v>137</v>
      </c>
      <c r="C138" s="1" t="s">
        <v>14</v>
      </c>
      <c r="D138" s="1">
        <v>57032325</v>
      </c>
      <c r="E138" s="1" t="s">
        <v>137</v>
      </c>
      <c r="F138" s="1" t="s">
        <v>138</v>
      </c>
      <c r="G138" s="1" t="s">
        <v>17</v>
      </c>
      <c r="H138" s="1" t="s">
        <v>18</v>
      </c>
      <c r="I138" s="1" t="s">
        <v>30</v>
      </c>
      <c r="J138" s="1" t="s">
        <v>1015</v>
      </c>
      <c r="K138" s="2" t="s">
        <v>1015</v>
      </c>
      <c r="L138" s="6">
        <v>45</v>
      </c>
      <c r="M138" s="2">
        <v>0</v>
      </c>
      <c r="N138" s="6" t="s">
        <v>31</v>
      </c>
      <c r="O138" s="2" t="s">
        <v>32</v>
      </c>
      <c r="P138" s="8">
        <v>0</v>
      </c>
    </row>
    <row r="139" spans="1:16" x14ac:dyDescent="0.3">
      <c r="A139" s="16"/>
      <c r="B139" s="1">
        <v>138</v>
      </c>
      <c r="C139" s="1" t="s">
        <v>179</v>
      </c>
      <c r="D139" s="1">
        <v>2080080067</v>
      </c>
      <c r="E139" s="1" t="s">
        <v>958</v>
      </c>
      <c r="F139" s="1" t="s">
        <v>899</v>
      </c>
      <c r="G139" s="1" t="s">
        <v>17</v>
      </c>
      <c r="H139" s="1" t="s">
        <v>25</v>
      </c>
      <c r="I139" s="1" t="s">
        <v>184</v>
      </c>
      <c r="J139" s="1" t="s">
        <v>20</v>
      </c>
      <c r="K139" s="2" t="s">
        <v>20</v>
      </c>
      <c r="L139" s="6">
        <v>40</v>
      </c>
      <c r="M139" s="2">
        <v>1.02</v>
      </c>
      <c r="N139" s="6" t="s">
        <v>21</v>
      </c>
      <c r="O139" s="2" t="s">
        <v>22</v>
      </c>
      <c r="P139" s="8">
        <v>29000</v>
      </c>
    </row>
    <row r="140" spans="1:16" x14ac:dyDescent="0.3">
      <c r="A140" s="16"/>
      <c r="B140" s="1">
        <v>139</v>
      </c>
      <c r="C140" s="1" t="s">
        <v>14</v>
      </c>
      <c r="D140" s="1">
        <v>55983626</v>
      </c>
      <c r="E140" s="1" t="s">
        <v>1053</v>
      </c>
      <c r="F140" s="1" t="s">
        <v>1227</v>
      </c>
      <c r="G140" s="1" t="s">
        <v>17</v>
      </c>
      <c r="H140" s="1" t="s">
        <v>18</v>
      </c>
      <c r="I140" s="1" t="s">
        <v>19</v>
      </c>
      <c r="J140" s="1" t="s">
        <v>20</v>
      </c>
      <c r="K140" s="2" t="s">
        <v>20</v>
      </c>
      <c r="L140" s="6">
        <v>39</v>
      </c>
      <c r="M140" s="2">
        <v>2.0299999999999998</v>
      </c>
      <c r="N140" s="6" t="s">
        <v>58</v>
      </c>
      <c r="O140" s="2" t="s">
        <v>74</v>
      </c>
      <c r="P140" s="8">
        <v>136000</v>
      </c>
    </row>
    <row r="141" spans="1:16" x14ac:dyDescent="0.3">
      <c r="A141" s="16"/>
      <c r="B141" s="1">
        <v>140</v>
      </c>
      <c r="C141" s="1" t="s">
        <v>179</v>
      </c>
      <c r="D141" s="1">
        <v>1950669410</v>
      </c>
      <c r="E141" s="1" t="s">
        <v>1054</v>
      </c>
      <c r="F141" s="1" t="s">
        <v>1228</v>
      </c>
      <c r="G141" s="1" t="s">
        <v>17</v>
      </c>
      <c r="H141" s="1" t="s">
        <v>18</v>
      </c>
      <c r="I141" s="1" t="s">
        <v>30</v>
      </c>
      <c r="J141" s="1" t="s">
        <v>20</v>
      </c>
      <c r="K141" s="2" t="s">
        <v>1015</v>
      </c>
      <c r="L141" s="6">
        <v>33</v>
      </c>
      <c r="M141" s="2">
        <v>0</v>
      </c>
      <c r="N141" s="6" t="s">
        <v>31</v>
      </c>
      <c r="O141" s="2" t="s">
        <v>32</v>
      </c>
      <c r="P141" s="8">
        <v>0</v>
      </c>
    </row>
    <row r="142" spans="1:16" x14ac:dyDescent="0.3">
      <c r="A142" s="16"/>
      <c r="B142" s="1">
        <v>141</v>
      </c>
      <c r="C142" s="1" t="s">
        <v>14</v>
      </c>
      <c r="D142" s="1">
        <v>55977384</v>
      </c>
      <c r="E142" s="1" t="s">
        <v>139</v>
      </c>
      <c r="F142" s="1" t="s">
        <v>140</v>
      </c>
      <c r="G142" s="1" t="s">
        <v>17</v>
      </c>
      <c r="H142" s="1" t="s">
        <v>18</v>
      </c>
      <c r="I142" s="1" t="s">
        <v>19</v>
      </c>
      <c r="J142" s="1" t="s">
        <v>1015</v>
      </c>
      <c r="K142" s="2" t="s">
        <v>1015</v>
      </c>
      <c r="L142" s="6">
        <v>56</v>
      </c>
      <c r="M142" s="2">
        <v>3.9</v>
      </c>
      <c r="N142" s="6" t="s">
        <v>21</v>
      </c>
      <c r="O142" s="2" t="s">
        <v>55</v>
      </c>
      <c r="P142" s="8">
        <v>103000</v>
      </c>
    </row>
    <row r="143" spans="1:16" x14ac:dyDescent="0.3">
      <c r="A143" s="16"/>
      <c r="B143" s="1">
        <v>142</v>
      </c>
      <c r="C143" s="1" t="s">
        <v>179</v>
      </c>
      <c r="D143" s="1">
        <v>1950680941</v>
      </c>
      <c r="E143" s="1" t="s">
        <v>1055</v>
      </c>
      <c r="F143" s="1" t="s">
        <v>833</v>
      </c>
      <c r="G143" s="1" t="s">
        <v>17</v>
      </c>
      <c r="H143" s="1" t="s">
        <v>18</v>
      </c>
      <c r="I143" s="1" t="s">
        <v>30</v>
      </c>
      <c r="J143" s="1" t="s">
        <v>20</v>
      </c>
      <c r="K143" s="2" t="s">
        <v>20</v>
      </c>
      <c r="L143" s="6">
        <v>62</v>
      </c>
      <c r="M143" s="2">
        <v>0</v>
      </c>
      <c r="N143" s="6" t="s">
        <v>31</v>
      </c>
      <c r="O143" s="2" t="s">
        <v>32</v>
      </c>
      <c r="P143" s="8">
        <v>0</v>
      </c>
    </row>
    <row r="144" spans="1:16" x14ac:dyDescent="0.3">
      <c r="A144" s="16"/>
      <c r="B144" s="1">
        <v>143</v>
      </c>
      <c r="C144" s="1" t="s">
        <v>14</v>
      </c>
      <c r="D144" s="1">
        <v>55985739</v>
      </c>
      <c r="E144" s="1" t="s">
        <v>141</v>
      </c>
      <c r="F144" s="1" t="s">
        <v>142</v>
      </c>
      <c r="G144" s="1" t="s">
        <v>17</v>
      </c>
      <c r="H144" s="1" t="s">
        <v>18</v>
      </c>
      <c r="I144" s="1" t="s">
        <v>30</v>
      </c>
      <c r="J144" s="1" t="s">
        <v>20</v>
      </c>
      <c r="K144" s="2" t="s">
        <v>20</v>
      </c>
      <c r="L144" s="6">
        <v>56</v>
      </c>
      <c r="M144" s="2">
        <v>0</v>
      </c>
      <c r="N144" s="6" t="s">
        <v>31</v>
      </c>
      <c r="O144" s="2" t="s">
        <v>32</v>
      </c>
      <c r="P144" s="8">
        <v>0</v>
      </c>
    </row>
    <row r="145" spans="1:16" x14ac:dyDescent="0.3">
      <c r="A145" s="16"/>
      <c r="B145" s="1">
        <v>144</v>
      </c>
      <c r="C145" s="1" t="s">
        <v>179</v>
      </c>
      <c r="D145" s="1">
        <v>2080078069</v>
      </c>
      <c r="E145" s="1" t="s">
        <v>959</v>
      </c>
      <c r="F145" s="1" t="s">
        <v>960</v>
      </c>
      <c r="G145" s="1" t="s">
        <v>17</v>
      </c>
      <c r="H145" s="1" t="s">
        <v>18</v>
      </c>
      <c r="I145" s="1" t="s">
        <v>30</v>
      </c>
      <c r="J145" s="1" t="s">
        <v>20</v>
      </c>
      <c r="K145" s="2" t="s">
        <v>20</v>
      </c>
      <c r="L145" s="6">
        <v>77</v>
      </c>
      <c r="M145" s="2">
        <v>0</v>
      </c>
      <c r="N145" s="6" t="s">
        <v>31</v>
      </c>
      <c r="O145" s="2" t="s">
        <v>32</v>
      </c>
      <c r="P145" s="8">
        <v>0</v>
      </c>
    </row>
    <row r="146" spans="1:16" x14ac:dyDescent="0.3">
      <c r="A146" s="16"/>
      <c r="B146" s="1">
        <v>145</v>
      </c>
      <c r="C146" s="1" t="s">
        <v>14</v>
      </c>
      <c r="D146" s="1">
        <v>56001196</v>
      </c>
      <c r="E146" s="1" t="s">
        <v>143</v>
      </c>
      <c r="F146" s="1" t="s">
        <v>144</v>
      </c>
      <c r="G146" s="1" t="s">
        <v>17</v>
      </c>
      <c r="H146" s="1" t="s">
        <v>18</v>
      </c>
      <c r="I146" s="1" t="s">
        <v>30</v>
      </c>
      <c r="J146" s="1" t="s">
        <v>20</v>
      </c>
      <c r="K146" s="2" t="s">
        <v>20</v>
      </c>
      <c r="L146" s="6">
        <v>75</v>
      </c>
      <c r="M146" s="2">
        <v>0</v>
      </c>
      <c r="N146" s="6" t="s">
        <v>31</v>
      </c>
      <c r="O146" s="2" t="s">
        <v>32</v>
      </c>
      <c r="P146" s="8">
        <v>0</v>
      </c>
    </row>
    <row r="147" spans="1:16" x14ac:dyDescent="0.3">
      <c r="A147" s="16"/>
      <c r="B147" s="1">
        <v>146</v>
      </c>
      <c r="C147" s="1" t="s">
        <v>179</v>
      </c>
      <c r="D147" s="1">
        <v>1950669045</v>
      </c>
      <c r="E147" s="1" t="s">
        <v>1056</v>
      </c>
      <c r="F147" s="1" t="s">
        <v>1229</v>
      </c>
      <c r="G147" s="1" t="s">
        <v>17</v>
      </c>
      <c r="H147" s="1" t="s">
        <v>18</v>
      </c>
      <c r="I147" s="1" t="s">
        <v>30</v>
      </c>
      <c r="J147" s="1" t="s">
        <v>20</v>
      </c>
      <c r="K147" s="2" t="s">
        <v>20</v>
      </c>
      <c r="L147" s="6">
        <v>72</v>
      </c>
      <c r="M147" s="2">
        <v>0</v>
      </c>
      <c r="N147" s="6" t="s">
        <v>31</v>
      </c>
      <c r="O147" s="2" t="s">
        <v>32</v>
      </c>
      <c r="P147" s="8">
        <v>0</v>
      </c>
    </row>
    <row r="148" spans="1:16" x14ac:dyDescent="0.3">
      <c r="A148" s="16"/>
      <c r="B148" s="1">
        <v>147</v>
      </c>
      <c r="C148" s="1" t="s">
        <v>14</v>
      </c>
      <c r="D148" s="1">
        <v>55972243</v>
      </c>
      <c r="E148" s="1" t="s">
        <v>145</v>
      </c>
      <c r="F148" s="1" t="s">
        <v>50</v>
      </c>
      <c r="G148" s="1" t="s">
        <v>17</v>
      </c>
      <c r="H148" s="1" t="s">
        <v>18</v>
      </c>
      <c r="I148" s="1" t="s">
        <v>30</v>
      </c>
      <c r="J148" s="1" t="s">
        <v>1015</v>
      </c>
      <c r="K148" s="2" t="s">
        <v>1015</v>
      </c>
      <c r="L148" s="6">
        <v>66</v>
      </c>
      <c r="M148" s="2">
        <v>0</v>
      </c>
      <c r="N148" s="6" t="s">
        <v>31</v>
      </c>
      <c r="O148" s="2" t="s">
        <v>32</v>
      </c>
      <c r="P148" s="8">
        <v>0</v>
      </c>
    </row>
    <row r="149" spans="1:16" x14ac:dyDescent="0.3">
      <c r="A149" s="16"/>
      <c r="B149" s="1">
        <v>148</v>
      </c>
      <c r="C149" s="1" t="s">
        <v>179</v>
      </c>
      <c r="D149" s="1">
        <v>2080078607</v>
      </c>
      <c r="E149" s="1" t="s">
        <v>961</v>
      </c>
      <c r="F149" s="1" t="s">
        <v>962</v>
      </c>
      <c r="G149" s="1" t="s">
        <v>17</v>
      </c>
      <c r="H149" s="1" t="s">
        <v>18</v>
      </c>
      <c r="I149" s="1" t="s">
        <v>30</v>
      </c>
      <c r="J149" s="1" t="s">
        <v>20</v>
      </c>
      <c r="K149" s="2" t="s">
        <v>20</v>
      </c>
      <c r="L149" s="6">
        <v>77</v>
      </c>
      <c r="M149" s="2">
        <v>0</v>
      </c>
      <c r="N149" s="6" t="s">
        <v>31</v>
      </c>
      <c r="O149" s="2" t="s">
        <v>32</v>
      </c>
      <c r="P149" s="8">
        <v>0</v>
      </c>
    </row>
    <row r="150" spans="1:16" x14ac:dyDescent="0.3">
      <c r="A150" s="16"/>
      <c r="B150" s="1">
        <v>149</v>
      </c>
      <c r="C150" s="1" t="s">
        <v>14</v>
      </c>
      <c r="D150" s="1">
        <v>57016615</v>
      </c>
      <c r="E150" s="1" t="s">
        <v>146</v>
      </c>
      <c r="F150" s="1" t="s">
        <v>147</v>
      </c>
      <c r="G150" s="1" t="s">
        <v>17</v>
      </c>
      <c r="H150" s="1" t="s">
        <v>18</v>
      </c>
      <c r="I150" s="1" t="s">
        <v>30</v>
      </c>
      <c r="J150" s="1" t="s">
        <v>20</v>
      </c>
      <c r="K150" s="2" t="s">
        <v>20</v>
      </c>
      <c r="L150" s="6">
        <v>49</v>
      </c>
      <c r="M150" s="2">
        <v>0</v>
      </c>
      <c r="N150" s="6" t="s">
        <v>31</v>
      </c>
      <c r="O150" s="2" t="s">
        <v>32</v>
      </c>
      <c r="P150" s="8">
        <v>0</v>
      </c>
    </row>
    <row r="151" spans="1:16" x14ac:dyDescent="0.3">
      <c r="A151" s="16"/>
      <c r="B151" s="1">
        <v>150</v>
      </c>
      <c r="C151" s="1" t="s">
        <v>179</v>
      </c>
      <c r="D151" s="1">
        <v>2080979906</v>
      </c>
      <c r="E151" s="1" t="s">
        <v>963</v>
      </c>
      <c r="F151" s="1" t="s">
        <v>964</v>
      </c>
      <c r="G151" s="1" t="s">
        <v>17</v>
      </c>
      <c r="H151" s="1" t="s">
        <v>25</v>
      </c>
      <c r="I151" s="1" t="s">
        <v>216</v>
      </c>
      <c r="J151" s="1" t="s">
        <v>20</v>
      </c>
      <c r="K151" s="2" t="s">
        <v>1015</v>
      </c>
      <c r="L151" s="6">
        <v>50</v>
      </c>
      <c r="M151" s="2">
        <v>2.48</v>
      </c>
      <c r="N151" s="6" t="s">
        <v>58</v>
      </c>
      <c r="O151" s="2" t="s">
        <v>22</v>
      </c>
      <c r="P151" s="8">
        <v>60000</v>
      </c>
    </row>
    <row r="152" spans="1:16" x14ac:dyDescent="0.3">
      <c r="A152" s="16"/>
      <c r="B152" s="1">
        <v>151</v>
      </c>
      <c r="C152" s="1" t="s">
        <v>14</v>
      </c>
      <c r="D152" s="1">
        <v>57021148</v>
      </c>
      <c r="E152" s="1" t="s">
        <v>148</v>
      </c>
      <c r="F152" s="1" t="s">
        <v>149</v>
      </c>
      <c r="G152" s="1" t="s">
        <v>17</v>
      </c>
      <c r="H152" s="1" t="s">
        <v>18</v>
      </c>
      <c r="I152" s="1" t="s">
        <v>19</v>
      </c>
      <c r="J152" s="1" t="s">
        <v>20</v>
      </c>
      <c r="K152" s="2" t="s">
        <v>20</v>
      </c>
      <c r="L152" s="6">
        <v>34</v>
      </c>
      <c r="M152" s="2">
        <v>3.24</v>
      </c>
      <c r="N152" s="6" t="s">
        <v>36</v>
      </c>
      <c r="O152" s="2" t="s">
        <v>22</v>
      </c>
      <c r="P152" s="8">
        <v>162000</v>
      </c>
    </row>
    <row r="153" spans="1:16" x14ac:dyDescent="0.3">
      <c r="A153" s="16"/>
      <c r="B153" s="1">
        <v>152</v>
      </c>
      <c r="C153" s="1" t="s">
        <v>179</v>
      </c>
      <c r="D153" s="1">
        <v>1950689046</v>
      </c>
      <c r="E153" s="1" t="s">
        <v>1057</v>
      </c>
      <c r="F153" s="1" t="s">
        <v>1230</v>
      </c>
      <c r="G153" s="1" t="s">
        <v>17</v>
      </c>
      <c r="H153" s="1" t="s">
        <v>18</v>
      </c>
      <c r="I153" s="1" t="s">
        <v>30</v>
      </c>
      <c r="J153" s="1" t="s">
        <v>20</v>
      </c>
      <c r="K153" s="2" t="s">
        <v>20</v>
      </c>
      <c r="L153" s="6">
        <v>51</v>
      </c>
      <c r="M153" s="2">
        <v>0</v>
      </c>
      <c r="N153" s="6" t="s">
        <v>31</v>
      </c>
      <c r="O153" s="2" t="s">
        <v>32</v>
      </c>
      <c r="P153" s="8">
        <v>0</v>
      </c>
    </row>
    <row r="154" spans="1:16" x14ac:dyDescent="0.3">
      <c r="A154" s="16"/>
      <c r="B154" s="1">
        <v>153</v>
      </c>
      <c r="C154" s="1" t="s">
        <v>14</v>
      </c>
      <c r="D154" s="1">
        <v>56000468</v>
      </c>
      <c r="E154" s="1" t="s">
        <v>1058</v>
      </c>
      <c r="F154" s="1" t="s">
        <v>1231</v>
      </c>
      <c r="G154" s="1" t="s">
        <v>17</v>
      </c>
      <c r="H154" s="1" t="s">
        <v>18</v>
      </c>
      <c r="I154" s="1" t="s">
        <v>19</v>
      </c>
      <c r="J154" s="1" t="s">
        <v>20</v>
      </c>
      <c r="K154" s="2" t="s">
        <v>20</v>
      </c>
      <c r="L154" s="6">
        <v>64</v>
      </c>
      <c r="M154" s="2">
        <v>1.35</v>
      </c>
      <c r="N154" s="6" t="s">
        <v>21</v>
      </c>
      <c r="O154" s="2" t="s">
        <v>27</v>
      </c>
      <c r="P154" s="8">
        <v>30000</v>
      </c>
    </row>
    <row r="155" spans="1:16" x14ac:dyDescent="0.3">
      <c r="A155" s="16"/>
      <c r="B155" s="1">
        <v>154</v>
      </c>
      <c r="C155" s="1" t="s">
        <v>179</v>
      </c>
      <c r="D155" s="1">
        <v>1950688665</v>
      </c>
      <c r="E155" s="1" t="s">
        <v>1059</v>
      </c>
      <c r="F155" s="1" t="s">
        <v>1232</v>
      </c>
      <c r="G155" s="1" t="s">
        <v>17</v>
      </c>
      <c r="H155" s="1" t="s">
        <v>25</v>
      </c>
      <c r="I155" s="1" t="s">
        <v>216</v>
      </c>
      <c r="J155" s="1" t="s">
        <v>20</v>
      </c>
      <c r="K155" s="2" t="s">
        <v>20</v>
      </c>
      <c r="L155" s="6">
        <v>61</v>
      </c>
      <c r="M155" s="2">
        <v>0.45</v>
      </c>
      <c r="N155" s="6" t="s">
        <v>21</v>
      </c>
      <c r="O155" s="2" t="s">
        <v>22</v>
      </c>
      <c r="P155" s="8">
        <v>27000</v>
      </c>
    </row>
    <row r="156" spans="1:16" x14ac:dyDescent="0.3">
      <c r="A156" s="16"/>
      <c r="B156" s="1">
        <v>155</v>
      </c>
      <c r="C156" s="1" t="s">
        <v>14</v>
      </c>
      <c r="D156" s="1">
        <v>55991602</v>
      </c>
      <c r="E156" s="1" t="s">
        <v>150</v>
      </c>
      <c r="F156" s="1" t="s">
        <v>151</v>
      </c>
      <c r="G156" s="1" t="s">
        <v>17</v>
      </c>
      <c r="H156" s="1" t="s">
        <v>18</v>
      </c>
      <c r="I156" s="1" t="s">
        <v>30</v>
      </c>
      <c r="J156" s="1" t="s">
        <v>20</v>
      </c>
      <c r="K156" s="2" t="s">
        <v>20</v>
      </c>
      <c r="L156" s="6">
        <v>81</v>
      </c>
      <c r="M156" s="2">
        <v>0</v>
      </c>
      <c r="N156" s="6" t="s">
        <v>31</v>
      </c>
      <c r="O156" s="2" t="s">
        <v>32</v>
      </c>
      <c r="P156" s="8">
        <v>0</v>
      </c>
    </row>
    <row r="157" spans="1:16" x14ac:dyDescent="0.3">
      <c r="A157" s="16"/>
      <c r="B157" s="1">
        <v>156</v>
      </c>
      <c r="C157" s="1" t="s">
        <v>179</v>
      </c>
      <c r="D157" s="1">
        <v>2080979776</v>
      </c>
      <c r="E157" s="1" t="s">
        <v>965</v>
      </c>
      <c r="F157" s="1" t="s">
        <v>966</v>
      </c>
      <c r="G157" s="1" t="s">
        <v>17</v>
      </c>
      <c r="H157" s="1" t="s">
        <v>25</v>
      </c>
      <c r="I157" s="1" t="s">
        <v>216</v>
      </c>
      <c r="J157" s="1" t="s">
        <v>1015</v>
      </c>
      <c r="K157" s="2" t="s">
        <v>1015</v>
      </c>
      <c r="L157" s="6">
        <v>60</v>
      </c>
      <c r="M157" s="2">
        <v>6.54</v>
      </c>
      <c r="N157" s="6" t="s">
        <v>58</v>
      </c>
      <c r="O157" s="2" t="s">
        <v>361</v>
      </c>
      <c r="P157" s="8">
        <v>261000</v>
      </c>
    </row>
    <row r="158" spans="1:16" x14ac:dyDescent="0.3">
      <c r="A158" s="16"/>
      <c r="B158" s="1">
        <v>157</v>
      </c>
      <c r="C158" s="1" t="s">
        <v>14</v>
      </c>
      <c r="D158" s="1">
        <v>55992471</v>
      </c>
      <c r="E158" s="1" t="s">
        <v>152</v>
      </c>
      <c r="F158" s="1" t="s">
        <v>153</v>
      </c>
      <c r="G158" s="1" t="s">
        <v>17</v>
      </c>
      <c r="H158" s="1" t="s">
        <v>18</v>
      </c>
      <c r="I158" s="1" t="s">
        <v>30</v>
      </c>
      <c r="J158" s="1" t="s">
        <v>20</v>
      </c>
      <c r="K158" s="2" t="s">
        <v>20</v>
      </c>
      <c r="L158" s="6">
        <v>77</v>
      </c>
      <c r="M158" s="2">
        <v>0</v>
      </c>
      <c r="N158" s="6" t="s">
        <v>31</v>
      </c>
      <c r="O158" s="2" t="s">
        <v>32</v>
      </c>
      <c r="P158" s="8">
        <v>0</v>
      </c>
    </row>
    <row r="159" spans="1:16" x14ac:dyDescent="0.3">
      <c r="A159" s="16"/>
      <c r="B159" s="1">
        <v>158</v>
      </c>
      <c r="C159" s="1" t="s">
        <v>179</v>
      </c>
      <c r="D159" s="1">
        <v>2080078682</v>
      </c>
      <c r="E159" s="1" t="s">
        <v>967</v>
      </c>
      <c r="F159" s="1" t="s">
        <v>903</v>
      </c>
      <c r="G159" s="1" t="s">
        <v>17</v>
      </c>
      <c r="H159" s="1" t="s">
        <v>18</v>
      </c>
      <c r="I159" s="1" t="s">
        <v>30</v>
      </c>
      <c r="J159" s="1" t="s">
        <v>20</v>
      </c>
      <c r="K159" s="2" t="s">
        <v>20</v>
      </c>
      <c r="L159" s="6">
        <v>36</v>
      </c>
      <c r="M159" s="2">
        <v>0</v>
      </c>
      <c r="N159" s="6" t="s">
        <v>31</v>
      </c>
      <c r="O159" s="2" t="s">
        <v>32</v>
      </c>
      <c r="P159" s="8">
        <v>0</v>
      </c>
    </row>
    <row r="160" spans="1:16" x14ac:dyDescent="0.3">
      <c r="A160" s="16"/>
      <c r="B160" s="1">
        <v>159</v>
      </c>
      <c r="C160" s="1" t="s">
        <v>14</v>
      </c>
      <c r="D160" s="1">
        <v>55986970</v>
      </c>
      <c r="E160" s="1" t="s">
        <v>1060</v>
      </c>
      <c r="F160" s="1" t="s">
        <v>1233</v>
      </c>
      <c r="G160" s="1" t="s">
        <v>17</v>
      </c>
      <c r="H160" s="1" t="s">
        <v>25</v>
      </c>
      <c r="I160" s="1" t="s">
        <v>26</v>
      </c>
      <c r="J160" s="1" t="s">
        <v>20</v>
      </c>
      <c r="K160" s="2" t="s">
        <v>20</v>
      </c>
      <c r="L160" s="6">
        <v>38</v>
      </c>
      <c r="M160" s="2">
        <v>3.94</v>
      </c>
      <c r="N160" s="6" t="s">
        <v>21</v>
      </c>
      <c r="O160" s="2" t="s">
        <v>27</v>
      </c>
      <c r="P160" s="8">
        <v>91000</v>
      </c>
    </row>
    <row r="161" spans="1:16" x14ac:dyDescent="0.3">
      <c r="A161" s="16"/>
      <c r="B161" s="1">
        <v>160</v>
      </c>
      <c r="C161" s="1" t="s">
        <v>179</v>
      </c>
      <c r="D161" s="1">
        <v>2080079123</v>
      </c>
      <c r="E161" s="1" t="s">
        <v>968</v>
      </c>
      <c r="F161" s="1" t="s">
        <v>449</v>
      </c>
      <c r="G161" s="1" t="s">
        <v>17</v>
      </c>
      <c r="H161" s="1" t="s">
        <v>25</v>
      </c>
      <c r="I161" s="1" t="s">
        <v>216</v>
      </c>
      <c r="J161" s="1" t="s">
        <v>20</v>
      </c>
      <c r="K161" s="2" t="s">
        <v>20</v>
      </c>
      <c r="L161" s="6">
        <v>66</v>
      </c>
      <c r="M161" s="2">
        <v>3.58</v>
      </c>
      <c r="N161" s="6" t="s">
        <v>21</v>
      </c>
      <c r="O161" s="2" t="s">
        <v>27</v>
      </c>
      <c r="P161" s="8">
        <v>114000</v>
      </c>
    </row>
    <row r="162" spans="1:16" x14ac:dyDescent="0.3">
      <c r="A162" s="16"/>
      <c r="B162" s="1">
        <v>161</v>
      </c>
      <c r="C162" s="1" t="s">
        <v>14</v>
      </c>
      <c r="D162" s="1">
        <v>55981726</v>
      </c>
      <c r="E162" s="1" t="s">
        <v>1061</v>
      </c>
      <c r="F162" s="1" t="s">
        <v>1234</v>
      </c>
      <c r="G162" s="1" t="s">
        <v>17</v>
      </c>
      <c r="H162" s="1" t="s">
        <v>18</v>
      </c>
      <c r="I162" s="1" t="s">
        <v>30</v>
      </c>
      <c r="J162" s="1" t="s">
        <v>20</v>
      </c>
      <c r="K162" s="2" t="s">
        <v>20</v>
      </c>
      <c r="L162" s="6">
        <v>28</v>
      </c>
      <c r="M162" s="2">
        <v>0</v>
      </c>
      <c r="N162" s="6" t="s">
        <v>31</v>
      </c>
      <c r="O162" s="2" t="s">
        <v>32</v>
      </c>
      <c r="P162" s="8">
        <v>0</v>
      </c>
    </row>
    <row r="163" spans="1:16" x14ac:dyDescent="0.3">
      <c r="A163" s="16"/>
      <c r="B163" s="1">
        <v>162</v>
      </c>
      <c r="C163" s="1" t="s">
        <v>179</v>
      </c>
      <c r="D163" s="1">
        <v>1950669063</v>
      </c>
      <c r="E163" s="1" t="s">
        <v>1062</v>
      </c>
      <c r="F163" s="1" t="s">
        <v>1235</v>
      </c>
      <c r="G163" s="1" t="s">
        <v>17</v>
      </c>
      <c r="H163" s="1" t="s">
        <v>25</v>
      </c>
      <c r="I163" s="1" t="s">
        <v>216</v>
      </c>
      <c r="J163" s="1" t="s">
        <v>20</v>
      </c>
      <c r="K163" s="2" t="s">
        <v>20</v>
      </c>
      <c r="L163" s="6">
        <v>43</v>
      </c>
      <c r="M163" s="2">
        <v>0.66</v>
      </c>
      <c r="N163" s="6" t="s">
        <v>21</v>
      </c>
      <c r="O163" s="2" t="s">
        <v>22</v>
      </c>
      <c r="P163" s="8">
        <v>36000</v>
      </c>
    </row>
    <row r="164" spans="1:16" x14ac:dyDescent="0.3">
      <c r="A164" s="16"/>
      <c r="B164" s="1">
        <v>163</v>
      </c>
      <c r="C164" s="1" t="s">
        <v>14</v>
      </c>
      <c r="D164" s="1">
        <v>56009353</v>
      </c>
      <c r="E164" s="1" t="s">
        <v>154</v>
      </c>
      <c r="F164" s="1" t="s">
        <v>155</v>
      </c>
      <c r="G164" s="1" t="s">
        <v>17</v>
      </c>
      <c r="H164" s="1" t="s">
        <v>18</v>
      </c>
      <c r="I164" s="1" t="s">
        <v>35</v>
      </c>
      <c r="J164" s="1" t="s">
        <v>1015</v>
      </c>
      <c r="K164" s="2" t="s">
        <v>1015</v>
      </c>
      <c r="L164" s="6">
        <v>83</v>
      </c>
      <c r="M164" s="2">
        <v>0.77</v>
      </c>
      <c r="N164" s="6" t="s">
        <v>21</v>
      </c>
      <c r="O164" s="2" t="s">
        <v>22</v>
      </c>
      <c r="P164" s="8">
        <v>19000</v>
      </c>
    </row>
    <row r="165" spans="1:16" x14ac:dyDescent="0.3">
      <c r="A165" s="16"/>
      <c r="B165" s="1">
        <v>164</v>
      </c>
      <c r="C165" s="1" t="s">
        <v>179</v>
      </c>
      <c r="D165" s="1">
        <v>2080080683</v>
      </c>
      <c r="E165" s="1" t="s">
        <v>969</v>
      </c>
      <c r="F165" s="1" t="s">
        <v>970</v>
      </c>
      <c r="G165" s="1" t="s">
        <v>88</v>
      </c>
      <c r="H165" s="1" t="s">
        <v>18</v>
      </c>
      <c r="I165" s="1" t="s">
        <v>120</v>
      </c>
      <c r="J165" s="1" t="s">
        <v>20</v>
      </c>
      <c r="K165" s="2" t="s">
        <v>20</v>
      </c>
      <c r="L165" s="6">
        <v>59</v>
      </c>
      <c r="M165" s="2">
        <v>0.42</v>
      </c>
      <c r="N165" s="6" t="s">
        <v>21</v>
      </c>
      <c r="O165" s="2" t="s">
        <v>27</v>
      </c>
      <c r="P165" s="8">
        <v>12000</v>
      </c>
    </row>
    <row r="166" spans="1:16" x14ac:dyDescent="0.3">
      <c r="A166" s="16"/>
      <c r="B166" s="1">
        <v>165</v>
      </c>
      <c r="C166" s="1" t="s">
        <v>14</v>
      </c>
      <c r="D166" s="1">
        <v>55999239</v>
      </c>
      <c r="E166" s="1" t="s">
        <v>156</v>
      </c>
      <c r="F166" s="1" t="s">
        <v>96</v>
      </c>
      <c r="G166" s="1" t="s">
        <v>17</v>
      </c>
      <c r="H166" s="1" t="s">
        <v>18</v>
      </c>
      <c r="I166" s="1" t="s">
        <v>30</v>
      </c>
      <c r="J166" s="1" t="s">
        <v>20</v>
      </c>
      <c r="K166" s="2" t="s">
        <v>20</v>
      </c>
      <c r="L166" s="6">
        <v>54</v>
      </c>
      <c r="M166" s="2">
        <v>0</v>
      </c>
      <c r="N166" s="6" t="s">
        <v>31</v>
      </c>
      <c r="O166" s="2" t="s">
        <v>32</v>
      </c>
      <c r="P166" s="8">
        <v>0</v>
      </c>
    </row>
    <row r="167" spans="1:16" x14ac:dyDescent="0.3">
      <c r="A167" s="16"/>
      <c r="B167" s="1">
        <v>166</v>
      </c>
      <c r="C167" s="1" t="s">
        <v>179</v>
      </c>
      <c r="D167" s="1">
        <v>2080081090</v>
      </c>
      <c r="E167" s="1" t="s">
        <v>971</v>
      </c>
      <c r="F167" s="1" t="s">
        <v>972</v>
      </c>
      <c r="G167" s="1" t="s">
        <v>17</v>
      </c>
      <c r="H167" s="1" t="s">
        <v>25</v>
      </c>
      <c r="I167" s="1" t="s">
        <v>216</v>
      </c>
      <c r="J167" s="1" t="s">
        <v>20</v>
      </c>
      <c r="K167" s="2" t="s">
        <v>20</v>
      </c>
      <c r="L167" s="6">
        <v>50</v>
      </c>
      <c r="M167" s="2">
        <v>1.55</v>
      </c>
      <c r="N167" s="6" t="s">
        <v>21</v>
      </c>
      <c r="O167" s="2" t="s">
        <v>22</v>
      </c>
      <c r="P167" s="8">
        <v>83000</v>
      </c>
    </row>
    <row r="168" spans="1:16" x14ac:dyDescent="0.3">
      <c r="A168" s="16"/>
      <c r="B168" s="1">
        <v>167</v>
      </c>
      <c r="C168" s="1" t="s">
        <v>14</v>
      </c>
      <c r="D168" s="1">
        <v>57028156</v>
      </c>
      <c r="E168" s="1" t="s">
        <v>1063</v>
      </c>
      <c r="F168" s="1" t="s">
        <v>1236</v>
      </c>
      <c r="G168" s="1" t="s">
        <v>17</v>
      </c>
      <c r="H168" s="1" t="s">
        <v>18</v>
      </c>
      <c r="I168" s="1" t="s">
        <v>19</v>
      </c>
      <c r="J168" s="1" t="s">
        <v>20</v>
      </c>
      <c r="K168" s="2" t="s">
        <v>20</v>
      </c>
      <c r="L168" s="6">
        <v>40</v>
      </c>
      <c r="M168" s="2">
        <v>4.82</v>
      </c>
      <c r="N168" s="6" t="s">
        <v>21</v>
      </c>
      <c r="O168" s="2" t="s">
        <v>41</v>
      </c>
      <c r="P168" s="8">
        <v>140000</v>
      </c>
    </row>
    <row r="169" spans="1:16" x14ac:dyDescent="0.3">
      <c r="A169" s="16"/>
      <c r="B169" s="1">
        <v>168</v>
      </c>
      <c r="C169" s="1" t="s">
        <v>179</v>
      </c>
      <c r="D169" s="1">
        <v>2080979975</v>
      </c>
      <c r="E169" s="1" t="s">
        <v>973</v>
      </c>
      <c r="F169" s="1" t="s">
        <v>823</v>
      </c>
      <c r="G169" s="1" t="s">
        <v>17</v>
      </c>
      <c r="H169" s="1" t="s">
        <v>18</v>
      </c>
      <c r="I169" s="1" t="s">
        <v>30</v>
      </c>
      <c r="J169" s="1" t="s">
        <v>20</v>
      </c>
      <c r="K169" s="2" t="s">
        <v>20</v>
      </c>
      <c r="L169" s="6">
        <v>52</v>
      </c>
      <c r="M169" s="2">
        <v>0</v>
      </c>
      <c r="N169" s="6" t="s">
        <v>31</v>
      </c>
      <c r="O169" s="2" t="s">
        <v>32</v>
      </c>
      <c r="P169" s="8">
        <v>0</v>
      </c>
    </row>
    <row r="170" spans="1:16" x14ac:dyDescent="0.3">
      <c r="A170" s="16"/>
      <c r="B170" s="1">
        <v>169</v>
      </c>
      <c r="C170" s="1" t="s">
        <v>14</v>
      </c>
      <c r="D170" s="1">
        <v>56014379</v>
      </c>
      <c r="E170" s="1" t="s">
        <v>157</v>
      </c>
      <c r="F170" s="1" t="s">
        <v>158</v>
      </c>
      <c r="G170" s="1" t="s">
        <v>17</v>
      </c>
      <c r="H170" s="1" t="s">
        <v>18</v>
      </c>
      <c r="I170" s="1" t="s">
        <v>30</v>
      </c>
      <c r="J170" s="1" t="s">
        <v>1015</v>
      </c>
      <c r="K170" s="2" t="s">
        <v>1015</v>
      </c>
      <c r="L170" s="6">
        <v>82</v>
      </c>
      <c r="M170" s="2">
        <v>0</v>
      </c>
      <c r="N170" s="6" t="s">
        <v>31</v>
      </c>
      <c r="O170" s="2" t="s">
        <v>32</v>
      </c>
      <c r="P170" s="8">
        <v>0</v>
      </c>
    </row>
    <row r="171" spans="1:16" x14ac:dyDescent="0.3">
      <c r="A171" s="16"/>
      <c r="B171" s="1">
        <v>170</v>
      </c>
      <c r="C171" s="1" t="s">
        <v>179</v>
      </c>
      <c r="D171" s="1">
        <v>1950669180</v>
      </c>
      <c r="E171" s="1" t="s">
        <v>1064</v>
      </c>
      <c r="F171" s="1" t="s">
        <v>1218</v>
      </c>
      <c r="G171" s="1" t="s">
        <v>17</v>
      </c>
      <c r="H171" s="1" t="s">
        <v>18</v>
      </c>
      <c r="I171" s="1" t="s">
        <v>30</v>
      </c>
      <c r="J171" s="1" t="s">
        <v>20</v>
      </c>
      <c r="K171" s="2" t="s">
        <v>20</v>
      </c>
      <c r="L171" s="6">
        <v>66</v>
      </c>
      <c r="M171" s="2">
        <v>0</v>
      </c>
      <c r="N171" s="6" t="s">
        <v>31</v>
      </c>
      <c r="O171" s="2" t="s">
        <v>32</v>
      </c>
      <c r="P171" s="8">
        <v>0</v>
      </c>
    </row>
    <row r="172" spans="1:16" x14ac:dyDescent="0.3">
      <c r="A172" s="16"/>
      <c r="B172" s="1">
        <v>171</v>
      </c>
      <c r="C172" s="1" t="s">
        <v>14</v>
      </c>
      <c r="D172" s="1">
        <v>55980783</v>
      </c>
      <c r="E172" s="1" t="s">
        <v>159</v>
      </c>
      <c r="F172" s="1" t="s">
        <v>160</v>
      </c>
      <c r="G172" s="1" t="s">
        <v>17</v>
      </c>
      <c r="H172" s="1" t="s">
        <v>18</v>
      </c>
      <c r="I172" s="1" t="s">
        <v>30</v>
      </c>
      <c r="J172" s="1" t="s">
        <v>20</v>
      </c>
      <c r="K172" s="2" t="s">
        <v>20</v>
      </c>
      <c r="L172" s="6">
        <v>52</v>
      </c>
      <c r="M172" s="2">
        <v>0</v>
      </c>
      <c r="N172" s="6" t="s">
        <v>31</v>
      </c>
      <c r="O172" s="2" t="s">
        <v>32</v>
      </c>
      <c r="P172" s="8">
        <v>0</v>
      </c>
    </row>
    <row r="173" spans="1:16" x14ac:dyDescent="0.3">
      <c r="A173" s="16"/>
      <c r="B173" s="1">
        <v>172</v>
      </c>
      <c r="C173" s="1" t="s">
        <v>179</v>
      </c>
      <c r="D173" s="1">
        <v>2251481237</v>
      </c>
      <c r="E173" s="1" t="s">
        <v>1065</v>
      </c>
      <c r="F173" s="1" t="s">
        <v>1237</v>
      </c>
      <c r="G173" s="1" t="s">
        <v>17</v>
      </c>
      <c r="H173" s="1" t="s">
        <v>25</v>
      </c>
      <c r="I173" s="1" t="s">
        <v>216</v>
      </c>
      <c r="J173" s="1" t="s">
        <v>1015</v>
      </c>
      <c r="K173" s="2" t="s">
        <v>1015</v>
      </c>
      <c r="L173" s="6">
        <v>83</v>
      </c>
      <c r="M173" s="2">
        <v>2.5299999999999998</v>
      </c>
      <c r="N173" s="6" t="s">
        <v>58</v>
      </c>
      <c r="O173" s="2" t="s">
        <v>41</v>
      </c>
      <c r="P173" s="8">
        <v>42000</v>
      </c>
    </row>
    <row r="174" spans="1:16" x14ac:dyDescent="0.3">
      <c r="A174" s="16"/>
      <c r="B174" s="1">
        <v>173</v>
      </c>
      <c r="C174" s="1" t="s">
        <v>14</v>
      </c>
      <c r="D174" s="1">
        <v>57019769</v>
      </c>
      <c r="E174" s="1" t="s">
        <v>161</v>
      </c>
      <c r="F174" s="1" t="s">
        <v>113</v>
      </c>
      <c r="G174" s="1" t="s">
        <v>17</v>
      </c>
      <c r="H174" s="1" t="s">
        <v>18</v>
      </c>
      <c r="I174" s="1" t="s">
        <v>35</v>
      </c>
      <c r="J174" s="1" t="s">
        <v>1015</v>
      </c>
      <c r="K174" s="2" t="s">
        <v>1015</v>
      </c>
      <c r="L174" s="6">
        <v>52</v>
      </c>
      <c r="M174" s="2">
        <v>3.79</v>
      </c>
      <c r="N174" s="6" t="s">
        <v>21</v>
      </c>
      <c r="O174" s="2" t="s">
        <v>22</v>
      </c>
      <c r="P174" s="8">
        <v>149000</v>
      </c>
    </row>
    <row r="175" spans="1:16" x14ac:dyDescent="0.3">
      <c r="A175" s="16"/>
      <c r="B175" s="1">
        <v>174</v>
      </c>
      <c r="C175" s="1" t="s">
        <v>179</v>
      </c>
      <c r="D175" s="1">
        <v>1950689081</v>
      </c>
      <c r="E175" s="1" t="s">
        <v>1066</v>
      </c>
      <c r="F175" s="1" t="s">
        <v>1238</v>
      </c>
      <c r="G175" s="1" t="s">
        <v>17</v>
      </c>
      <c r="H175" s="1" t="s">
        <v>25</v>
      </c>
      <c r="I175" s="1" t="s">
        <v>216</v>
      </c>
      <c r="J175" s="1" t="s">
        <v>20</v>
      </c>
      <c r="K175" s="2" t="s">
        <v>1015</v>
      </c>
      <c r="L175" s="6">
        <v>78</v>
      </c>
      <c r="M175" s="2">
        <v>0.75</v>
      </c>
      <c r="N175" s="6" t="s">
        <v>21</v>
      </c>
      <c r="O175" s="2" t="s">
        <v>22</v>
      </c>
      <c r="P175" s="8">
        <v>41000</v>
      </c>
    </row>
    <row r="176" spans="1:16" x14ac:dyDescent="0.3">
      <c r="A176" s="16"/>
      <c r="B176" s="1">
        <v>175</v>
      </c>
      <c r="C176" s="1" t="s">
        <v>14</v>
      </c>
      <c r="D176" s="1">
        <v>57021903</v>
      </c>
      <c r="E176" s="1" t="s">
        <v>162</v>
      </c>
      <c r="F176" s="1" t="s">
        <v>163</v>
      </c>
      <c r="G176" s="1" t="s">
        <v>17</v>
      </c>
      <c r="H176" s="1" t="s">
        <v>18</v>
      </c>
      <c r="I176" s="1" t="s">
        <v>30</v>
      </c>
      <c r="J176" s="1" t="s">
        <v>1015</v>
      </c>
      <c r="K176" s="2" t="s">
        <v>1015</v>
      </c>
      <c r="L176" s="6">
        <v>32</v>
      </c>
      <c r="M176" s="2">
        <v>0</v>
      </c>
      <c r="N176" s="6" t="s">
        <v>31</v>
      </c>
      <c r="O176" s="2" t="s">
        <v>32</v>
      </c>
      <c r="P176" s="8">
        <v>0</v>
      </c>
    </row>
    <row r="177" spans="1:16" x14ac:dyDescent="0.3">
      <c r="A177" s="16"/>
      <c r="B177" s="1">
        <v>176</v>
      </c>
      <c r="C177" s="1" t="s">
        <v>179</v>
      </c>
      <c r="D177" s="1">
        <v>2080079862</v>
      </c>
      <c r="E177" s="1" t="s">
        <v>974</v>
      </c>
      <c r="F177" s="1" t="s">
        <v>975</v>
      </c>
      <c r="G177" s="1" t="s">
        <v>17</v>
      </c>
      <c r="H177" s="1" t="s">
        <v>18</v>
      </c>
      <c r="I177" s="1" t="s">
        <v>184</v>
      </c>
      <c r="J177" s="1" t="s">
        <v>20</v>
      </c>
      <c r="K177" s="2" t="s">
        <v>20</v>
      </c>
      <c r="L177" s="6">
        <v>64</v>
      </c>
      <c r="M177" s="2">
        <v>2.13</v>
      </c>
      <c r="N177" s="6" t="s">
        <v>36</v>
      </c>
      <c r="O177" s="2" t="s">
        <v>22</v>
      </c>
      <c r="P177" s="8">
        <v>122000</v>
      </c>
    </row>
    <row r="178" spans="1:16" x14ac:dyDescent="0.3">
      <c r="A178" s="16"/>
      <c r="B178" s="1">
        <v>177</v>
      </c>
      <c r="C178" s="1" t="s">
        <v>14</v>
      </c>
      <c r="D178" s="1">
        <v>57028867</v>
      </c>
      <c r="E178" s="1" t="s">
        <v>1067</v>
      </c>
      <c r="F178" s="1" t="s">
        <v>1239</v>
      </c>
      <c r="G178" s="1" t="s">
        <v>17</v>
      </c>
      <c r="H178" s="1" t="s">
        <v>18</v>
      </c>
      <c r="I178" s="1" t="s">
        <v>30</v>
      </c>
      <c r="J178" s="1" t="s">
        <v>20</v>
      </c>
      <c r="K178" s="2" t="s">
        <v>20</v>
      </c>
      <c r="L178" s="6">
        <v>65</v>
      </c>
      <c r="M178" s="2">
        <v>0</v>
      </c>
      <c r="N178" s="6" t="s">
        <v>31</v>
      </c>
      <c r="O178" s="2" t="s">
        <v>32</v>
      </c>
      <c r="P178" s="8">
        <v>0</v>
      </c>
    </row>
    <row r="179" spans="1:16" x14ac:dyDescent="0.3">
      <c r="A179" s="16"/>
      <c r="B179" s="1">
        <v>178</v>
      </c>
      <c r="C179" s="1" t="s">
        <v>179</v>
      </c>
      <c r="D179" s="1">
        <v>2080081203</v>
      </c>
      <c r="E179" s="1" t="s">
        <v>976</v>
      </c>
      <c r="F179" s="1" t="s">
        <v>887</v>
      </c>
      <c r="G179" s="1" t="s">
        <v>17</v>
      </c>
      <c r="H179" s="1" t="s">
        <v>18</v>
      </c>
      <c r="I179" s="1" t="s">
        <v>30</v>
      </c>
      <c r="J179" s="1" t="s">
        <v>20</v>
      </c>
      <c r="K179" s="2" t="s">
        <v>20</v>
      </c>
      <c r="L179" s="6">
        <v>34</v>
      </c>
      <c r="M179" s="2">
        <v>0</v>
      </c>
      <c r="N179" s="6" t="s">
        <v>31</v>
      </c>
      <c r="O179" s="2" t="s">
        <v>32</v>
      </c>
      <c r="P179" s="8">
        <v>0</v>
      </c>
    </row>
    <row r="180" spans="1:16" x14ac:dyDescent="0.3">
      <c r="A180" s="16"/>
      <c r="B180" s="1">
        <v>179</v>
      </c>
      <c r="C180" s="1" t="s">
        <v>14</v>
      </c>
      <c r="D180" s="1">
        <v>57026705</v>
      </c>
      <c r="E180" s="1" t="s">
        <v>164</v>
      </c>
      <c r="F180" s="1" t="s">
        <v>29</v>
      </c>
      <c r="G180" s="1" t="s">
        <v>17</v>
      </c>
      <c r="H180" s="1" t="s">
        <v>18</v>
      </c>
      <c r="I180" s="1" t="s">
        <v>30</v>
      </c>
      <c r="J180" s="1" t="s">
        <v>1015</v>
      </c>
      <c r="K180" s="2" t="s">
        <v>1015</v>
      </c>
      <c r="L180" s="6">
        <v>48</v>
      </c>
      <c r="M180" s="2">
        <v>0</v>
      </c>
      <c r="N180" s="6" t="s">
        <v>31</v>
      </c>
      <c r="O180" s="2" t="s">
        <v>32</v>
      </c>
      <c r="P180" s="8">
        <v>0</v>
      </c>
    </row>
    <row r="181" spans="1:16" x14ac:dyDescent="0.3">
      <c r="A181" s="16"/>
      <c r="B181" s="1">
        <v>180</v>
      </c>
      <c r="C181" s="1" t="s">
        <v>179</v>
      </c>
      <c r="D181" s="1">
        <v>2080980179</v>
      </c>
      <c r="E181" s="1" t="s">
        <v>977</v>
      </c>
      <c r="F181" s="1" t="s">
        <v>936</v>
      </c>
      <c r="G181" s="1" t="s">
        <v>17</v>
      </c>
      <c r="H181" s="1" t="s">
        <v>25</v>
      </c>
      <c r="I181" s="1" t="s">
        <v>216</v>
      </c>
      <c r="J181" s="1" t="s">
        <v>20</v>
      </c>
      <c r="K181" s="2" t="s">
        <v>20</v>
      </c>
      <c r="L181" s="6">
        <v>46</v>
      </c>
      <c r="M181" s="2">
        <v>0.45</v>
      </c>
      <c r="N181" s="6" t="s">
        <v>21</v>
      </c>
      <c r="O181" s="2" t="s">
        <v>59</v>
      </c>
      <c r="P181" s="8">
        <v>21000</v>
      </c>
    </row>
    <row r="182" spans="1:16" x14ac:dyDescent="0.3">
      <c r="A182" s="16"/>
      <c r="B182" s="1">
        <v>181</v>
      </c>
      <c r="C182" s="1" t="s">
        <v>14</v>
      </c>
      <c r="D182" s="1">
        <v>56013693</v>
      </c>
      <c r="E182" s="1" t="s">
        <v>165</v>
      </c>
      <c r="F182" s="1" t="s">
        <v>166</v>
      </c>
      <c r="G182" s="1" t="s">
        <v>17</v>
      </c>
      <c r="H182" s="1" t="s">
        <v>18</v>
      </c>
      <c r="I182" s="1" t="s">
        <v>30</v>
      </c>
      <c r="J182" s="1" t="s">
        <v>20</v>
      </c>
      <c r="K182" s="2" t="s">
        <v>20</v>
      </c>
      <c r="L182" s="6">
        <v>36</v>
      </c>
      <c r="M182" s="2">
        <v>0</v>
      </c>
      <c r="N182" s="6" t="s">
        <v>31</v>
      </c>
      <c r="O182" s="2" t="s">
        <v>32</v>
      </c>
      <c r="P182" s="8">
        <v>0</v>
      </c>
    </row>
    <row r="183" spans="1:16" x14ac:dyDescent="0.3">
      <c r="A183" s="16"/>
      <c r="B183" s="1">
        <v>182</v>
      </c>
      <c r="C183" s="1" t="s">
        <v>179</v>
      </c>
      <c r="D183" s="1">
        <v>1950688916</v>
      </c>
      <c r="E183" s="1" t="s">
        <v>1068</v>
      </c>
      <c r="F183" s="1" t="s">
        <v>934</v>
      </c>
      <c r="G183" s="1" t="s">
        <v>17</v>
      </c>
      <c r="H183" s="1" t="s">
        <v>18</v>
      </c>
      <c r="I183" s="1" t="s">
        <v>30</v>
      </c>
      <c r="J183" s="1" t="s">
        <v>20</v>
      </c>
      <c r="K183" s="2" t="s">
        <v>20</v>
      </c>
      <c r="L183" s="6">
        <v>35</v>
      </c>
      <c r="M183" s="2">
        <v>0</v>
      </c>
      <c r="N183" s="6" t="s">
        <v>31</v>
      </c>
      <c r="O183" s="2" t="s">
        <v>32</v>
      </c>
      <c r="P183" s="8">
        <v>0</v>
      </c>
    </row>
    <row r="184" spans="1:16" x14ac:dyDescent="0.3">
      <c r="A184" s="16"/>
      <c r="B184" s="1">
        <v>183</v>
      </c>
      <c r="C184" s="1" t="s">
        <v>14</v>
      </c>
      <c r="D184" s="1">
        <v>55996174</v>
      </c>
      <c r="E184" s="1" t="s">
        <v>1069</v>
      </c>
      <c r="F184" s="1" t="s">
        <v>1240</v>
      </c>
      <c r="G184" s="1" t="s">
        <v>17</v>
      </c>
      <c r="H184" s="1" t="s">
        <v>18</v>
      </c>
      <c r="I184" s="1" t="s">
        <v>19</v>
      </c>
      <c r="J184" s="1" t="s">
        <v>20</v>
      </c>
      <c r="K184" s="2" t="s">
        <v>20</v>
      </c>
      <c r="L184" s="6">
        <v>52</v>
      </c>
      <c r="M184" s="2">
        <v>3.96</v>
      </c>
      <c r="N184" s="6" t="s">
        <v>58</v>
      </c>
      <c r="O184" s="2" t="s">
        <v>27</v>
      </c>
      <c r="P184" s="8">
        <v>209000</v>
      </c>
    </row>
    <row r="185" spans="1:16" x14ac:dyDescent="0.3">
      <c r="A185" s="16"/>
      <c r="B185" s="1">
        <v>184</v>
      </c>
      <c r="C185" s="1" t="s">
        <v>179</v>
      </c>
      <c r="D185" s="1">
        <v>2080079763</v>
      </c>
      <c r="E185" s="1" t="s">
        <v>978</v>
      </c>
      <c r="F185" s="1" t="s">
        <v>979</v>
      </c>
      <c r="G185" s="1" t="s">
        <v>17</v>
      </c>
      <c r="H185" s="1" t="s">
        <v>25</v>
      </c>
      <c r="I185" s="1" t="s">
        <v>184</v>
      </c>
      <c r="J185" s="1" t="s">
        <v>20</v>
      </c>
      <c r="K185" s="2" t="s">
        <v>20</v>
      </c>
      <c r="L185" s="6">
        <v>63</v>
      </c>
      <c r="M185" s="2">
        <v>0.79</v>
      </c>
      <c r="N185" s="6" t="s">
        <v>21</v>
      </c>
      <c r="O185" s="2" t="s">
        <v>27</v>
      </c>
      <c r="P185" s="8">
        <v>36000</v>
      </c>
    </row>
    <row r="186" spans="1:16" x14ac:dyDescent="0.3">
      <c r="A186" s="16"/>
      <c r="B186" s="1">
        <v>185</v>
      </c>
      <c r="C186" s="1" t="s">
        <v>14</v>
      </c>
      <c r="D186" s="1">
        <v>55973978</v>
      </c>
      <c r="E186" s="1" t="s">
        <v>167</v>
      </c>
      <c r="F186" s="1" t="s">
        <v>168</v>
      </c>
      <c r="G186" s="1" t="s">
        <v>17</v>
      </c>
      <c r="H186" s="1" t="s">
        <v>18</v>
      </c>
      <c r="I186" s="1" t="s">
        <v>30</v>
      </c>
      <c r="J186" s="1" t="s">
        <v>20</v>
      </c>
      <c r="K186" s="2" t="s">
        <v>20</v>
      </c>
      <c r="L186" s="6">
        <v>59</v>
      </c>
      <c r="M186" s="2">
        <v>0</v>
      </c>
      <c r="N186" s="6" t="s">
        <v>31</v>
      </c>
      <c r="O186" s="2" t="s">
        <v>32</v>
      </c>
      <c r="P186" s="8">
        <v>0</v>
      </c>
    </row>
    <row r="187" spans="1:16" x14ac:dyDescent="0.3">
      <c r="A187" s="16"/>
      <c r="B187" s="1">
        <v>186</v>
      </c>
      <c r="C187" s="1" t="s">
        <v>179</v>
      </c>
      <c r="D187" s="1">
        <v>1950673085</v>
      </c>
      <c r="E187" s="1" t="s">
        <v>1070</v>
      </c>
      <c r="F187" s="1" t="s">
        <v>1241</v>
      </c>
      <c r="G187" s="1" t="s">
        <v>88</v>
      </c>
      <c r="H187" s="1" t="s">
        <v>18</v>
      </c>
      <c r="I187" s="1" t="s">
        <v>120</v>
      </c>
      <c r="J187" s="1" t="s">
        <v>20</v>
      </c>
      <c r="K187" s="2" t="s">
        <v>1015</v>
      </c>
      <c r="L187" s="6">
        <v>38</v>
      </c>
      <c r="M187" s="2">
        <v>1.89</v>
      </c>
      <c r="N187" s="6" t="s">
        <v>21</v>
      </c>
      <c r="O187" s="2" t="s">
        <v>22</v>
      </c>
      <c r="P187" s="8">
        <v>105000</v>
      </c>
    </row>
    <row r="188" spans="1:16" x14ac:dyDescent="0.3">
      <c r="A188" s="16"/>
      <c r="B188" s="1">
        <v>187</v>
      </c>
      <c r="C188" s="1" t="s">
        <v>14</v>
      </c>
      <c r="D188" s="1">
        <v>57020803</v>
      </c>
      <c r="E188" s="1" t="s">
        <v>169</v>
      </c>
      <c r="F188" s="1" t="s">
        <v>170</v>
      </c>
      <c r="G188" s="1" t="s">
        <v>17</v>
      </c>
      <c r="H188" s="1" t="s">
        <v>18</v>
      </c>
      <c r="I188" s="1" t="s">
        <v>30</v>
      </c>
      <c r="J188" s="1" t="s">
        <v>20</v>
      </c>
      <c r="K188" s="2" t="s">
        <v>20</v>
      </c>
      <c r="L188" s="6">
        <v>48</v>
      </c>
      <c r="M188" s="2">
        <v>0</v>
      </c>
      <c r="N188" s="6" t="s">
        <v>31</v>
      </c>
      <c r="O188" s="2" t="s">
        <v>32</v>
      </c>
      <c r="P188" s="8">
        <v>0</v>
      </c>
    </row>
    <row r="189" spans="1:16" x14ac:dyDescent="0.3">
      <c r="A189" s="16"/>
      <c r="B189" s="1">
        <v>188</v>
      </c>
      <c r="C189" s="1" t="s">
        <v>179</v>
      </c>
      <c r="D189" s="1">
        <v>2080080977</v>
      </c>
      <c r="E189" s="1" t="s">
        <v>980</v>
      </c>
      <c r="F189" s="1" t="s">
        <v>87</v>
      </c>
      <c r="G189" s="1" t="s">
        <v>17</v>
      </c>
      <c r="H189" s="1" t="s">
        <v>25</v>
      </c>
      <c r="I189" s="1" t="s">
        <v>216</v>
      </c>
      <c r="J189" s="1" t="s">
        <v>20</v>
      </c>
      <c r="K189" s="2" t="s">
        <v>20</v>
      </c>
      <c r="L189" s="6">
        <v>73</v>
      </c>
      <c r="M189" s="2">
        <v>1.94</v>
      </c>
      <c r="N189" s="6" t="s">
        <v>58</v>
      </c>
      <c r="O189" s="2" t="s">
        <v>27</v>
      </c>
      <c r="P189" s="8">
        <v>66000</v>
      </c>
    </row>
    <row r="190" spans="1:16" x14ac:dyDescent="0.3">
      <c r="A190" s="16"/>
      <c r="B190" s="1">
        <v>189</v>
      </c>
      <c r="C190" s="1" t="s">
        <v>14</v>
      </c>
      <c r="D190" s="1">
        <v>55978928</v>
      </c>
      <c r="E190" s="1" t="s">
        <v>171</v>
      </c>
      <c r="F190" s="1" t="s">
        <v>52</v>
      </c>
      <c r="G190" s="1" t="s">
        <v>17</v>
      </c>
      <c r="H190" s="1" t="s">
        <v>18</v>
      </c>
      <c r="I190" s="1" t="s">
        <v>30</v>
      </c>
      <c r="J190" s="1" t="s">
        <v>20</v>
      </c>
      <c r="K190" s="2" t="s">
        <v>20</v>
      </c>
      <c r="L190" s="6">
        <v>78</v>
      </c>
      <c r="M190" s="2">
        <v>0</v>
      </c>
      <c r="N190" s="6" t="s">
        <v>31</v>
      </c>
      <c r="O190" s="2" t="s">
        <v>32</v>
      </c>
      <c r="P190" s="8">
        <v>0</v>
      </c>
    </row>
    <row r="191" spans="1:16" x14ac:dyDescent="0.3">
      <c r="A191" s="16"/>
      <c r="B191" s="1">
        <v>190</v>
      </c>
      <c r="C191" s="1" t="s">
        <v>179</v>
      </c>
      <c r="D191" s="1">
        <v>1950673305</v>
      </c>
      <c r="E191" s="1" t="s">
        <v>1071</v>
      </c>
      <c r="F191" s="1" t="s">
        <v>1242</v>
      </c>
      <c r="G191" s="1" t="s">
        <v>17</v>
      </c>
      <c r="H191" s="1" t="s">
        <v>25</v>
      </c>
      <c r="I191" s="1" t="s">
        <v>216</v>
      </c>
      <c r="J191" s="1" t="s">
        <v>20</v>
      </c>
      <c r="K191" s="2" t="s">
        <v>20</v>
      </c>
      <c r="L191" s="6">
        <v>29</v>
      </c>
      <c r="M191" s="2">
        <v>6.3</v>
      </c>
      <c r="N191" s="6" t="s">
        <v>21</v>
      </c>
      <c r="O191" s="2" t="s">
        <v>22</v>
      </c>
      <c r="P191" s="8">
        <v>182000</v>
      </c>
    </row>
    <row r="192" spans="1:16" x14ac:dyDescent="0.3">
      <c r="A192" s="16"/>
      <c r="B192" s="1">
        <v>191</v>
      </c>
      <c r="C192" s="1" t="s">
        <v>14</v>
      </c>
      <c r="D192" s="1">
        <v>55993474</v>
      </c>
      <c r="E192" s="1" t="s">
        <v>172</v>
      </c>
      <c r="F192" s="1" t="s">
        <v>173</v>
      </c>
      <c r="G192" s="1" t="s">
        <v>17</v>
      </c>
      <c r="H192" s="1" t="s">
        <v>18</v>
      </c>
      <c r="I192" s="1" t="s">
        <v>30</v>
      </c>
      <c r="J192" s="1" t="s">
        <v>1015</v>
      </c>
      <c r="K192" s="2" t="s">
        <v>1015</v>
      </c>
      <c r="L192" s="6">
        <v>32</v>
      </c>
      <c r="M192" s="2">
        <v>0</v>
      </c>
      <c r="N192" s="6" t="s">
        <v>31</v>
      </c>
      <c r="O192" s="2" t="s">
        <v>32</v>
      </c>
      <c r="P192" s="8">
        <v>0</v>
      </c>
    </row>
    <row r="193" spans="1:16" x14ac:dyDescent="0.3">
      <c r="A193" s="16"/>
      <c r="B193" s="1">
        <v>192</v>
      </c>
      <c r="C193" s="1" t="s">
        <v>179</v>
      </c>
      <c r="D193" s="1">
        <v>2081000833</v>
      </c>
      <c r="E193" s="1" t="s">
        <v>981</v>
      </c>
      <c r="F193" s="1" t="s">
        <v>982</v>
      </c>
      <c r="G193" s="1" t="s">
        <v>17</v>
      </c>
      <c r="H193" s="1" t="s">
        <v>18</v>
      </c>
      <c r="I193" s="1" t="s">
        <v>30</v>
      </c>
      <c r="J193" s="1" t="s">
        <v>1015</v>
      </c>
      <c r="K193" s="2" t="s">
        <v>1015</v>
      </c>
      <c r="L193" s="6">
        <v>54</v>
      </c>
      <c r="M193" s="2">
        <v>0</v>
      </c>
      <c r="N193" s="6" t="s">
        <v>31</v>
      </c>
      <c r="O193" s="2" t="s">
        <v>32</v>
      </c>
      <c r="P193" s="8">
        <v>0</v>
      </c>
    </row>
    <row r="194" spans="1:16" x14ac:dyDescent="0.3">
      <c r="A194" s="16"/>
      <c r="B194" s="1">
        <v>193</v>
      </c>
      <c r="C194" s="1" t="s">
        <v>14</v>
      </c>
      <c r="D194" s="1">
        <v>56011071</v>
      </c>
      <c r="E194" s="1" t="s">
        <v>174</v>
      </c>
      <c r="F194" s="1" t="s">
        <v>175</v>
      </c>
      <c r="G194" s="1" t="s">
        <v>17</v>
      </c>
      <c r="H194" s="1" t="s">
        <v>18</v>
      </c>
      <c r="I194" s="1" t="s">
        <v>30</v>
      </c>
      <c r="J194" s="1" t="s">
        <v>20</v>
      </c>
      <c r="K194" s="2" t="s">
        <v>20</v>
      </c>
      <c r="L194" s="6">
        <v>54</v>
      </c>
      <c r="M194" s="2">
        <v>0</v>
      </c>
      <c r="N194" s="6" t="s">
        <v>31</v>
      </c>
      <c r="O194" s="2" t="s">
        <v>32</v>
      </c>
      <c r="P194" s="8">
        <v>0</v>
      </c>
    </row>
    <row r="195" spans="1:16" x14ac:dyDescent="0.3">
      <c r="A195" s="16"/>
      <c r="B195" s="1">
        <v>194</v>
      </c>
      <c r="C195" s="1" t="s">
        <v>179</v>
      </c>
      <c r="D195" s="1">
        <v>2080080002</v>
      </c>
      <c r="E195" s="1" t="s">
        <v>983</v>
      </c>
      <c r="F195" s="1" t="s">
        <v>984</v>
      </c>
      <c r="G195" s="1" t="s">
        <v>17</v>
      </c>
      <c r="H195" s="1" t="s">
        <v>18</v>
      </c>
      <c r="I195" s="1" t="s">
        <v>184</v>
      </c>
      <c r="J195" s="1" t="s">
        <v>20</v>
      </c>
      <c r="K195" s="2" t="s">
        <v>20</v>
      </c>
      <c r="L195" s="6">
        <v>66</v>
      </c>
      <c r="M195" s="2">
        <v>1.28</v>
      </c>
      <c r="N195" s="6" t="s">
        <v>21</v>
      </c>
      <c r="O195" s="2" t="s">
        <v>59</v>
      </c>
      <c r="P195" s="8">
        <v>59000</v>
      </c>
    </row>
    <row r="196" spans="1:16" x14ac:dyDescent="0.3">
      <c r="A196" s="16"/>
      <c r="B196" s="1">
        <v>195</v>
      </c>
      <c r="C196" s="1" t="s">
        <v>14</v>
      </c>
      <c r="D196" s="1">
        <v>56017322</v>
      </c>
      <c r="E196" s="1" t="s">
        <v>176</v>
      </c>
      <c r="F196" s="1" t="s">
        <v>105</v>
      </c>
      <c r="G196" s="1" t="s">
        <v>17</v>
      </c>
      <c r="H196" s="1" t="s">
        <v>18</v>
      </c>
      <c r="I196" s="1" t="s">
        <v>19</v>
      </c>
      <c r="J196" s="1" t="s">
        <v>1015</v>
      </c>
      <c r="K196" s="2" t="s">
        <v>1015</v>
      </c>
      <c r="L196" s="6">
        <v>50</v>
      </c>
      <c r="M196" s="2">
        <v>3.93</v>
      </c>
      <c r="N196" s="6" t="s">
        <v>21</v>
      </c>
      <c r="O196" s="2" t="s">
        <v>59</v>
      </c>
      <c r="P196" s="8">
        <v>92000</v>
      </c>
    </row>
    <row r="197" spans="1:16" x14ac:dyDescent="0.3">
      <c r="A197" s="16"/>
      <c r="B197" s="1">
        <v>196</v>
      </c>
      <c r="C197" s="1" t="s">
        <v>179</v>
      </c>
      <c r="D197" s="1">
        <v>2251086493</v>
      </c>
      <c r="E197" s="1" t="s">
        <v>1072</v>
      </c>
      <c r="F197" s="1" t="s">
        <v>1243</v>
      </c>
      <c r="G197" s="1" t="s">
        <v>88</v>
      </c>
      <c r="H197" s="1" t="s">
        <v>25</v>
      </c>
      <c r="I197" s="1" t="s">
        <v>216</v>
      </c>
      <c r="J197" s="1" t="s">
        <v>1015</v>
      </c>
      <c r="K197" s="2" t="s">
        <v>1015</v>
      </c>
      <c r="L197" s="6">
        <v>50</v>
      </c>
      <c r="M197" s="2">
        <v>1.82</v>
      </c>
      <c r="N197" s="6" t="s">
        <v>21</v>
      </c>
      <c r="O197" s="2" t="s">
        <v>22</v>
      </c>
      <c r="P197" s="8">
        <v>77000</v>
      </c>
    </row>
    <row r="198" spans="1:16" x14ac:dyDescent="0.3">
      <c r="A198" s="16"/>
      <c r="B198" s="1">
        <v>197</v>
      </c>
      <c r="C198" s="1" t="s">
        <v>14</v>
      </c>
      <c r="D198" s="1">
        <v>55978253</v>
      </c>
      <c r="E198" s="1" t="s">
        <v>177</v>
      </c>
      <c r="F198" s="1" t="s">
        <v>178</v>
      </c>
      <c r="G198" s="1" t="s">
        <v>17</v>
      </c>
      <c r="H198" s="1" t="s">
        <v>18</v>
      </c>
      <c r="I198" s="1" t="s">
        <v>30</v>
      </c>
      <c r="J198" s="1" t="s">
        <v>1015</v>
      </c>
      <c r="K198" s="2" t="s">
        <v>1015</v>
      </c>
      <c r="L198" s="6">
        <v>75</v>
      </c>
      <c r="M198" s="2">
        <v>0</v>
      </c>
      <c r="N198" s="6" t="s">
        <v>31</v>
      </c>
      <c r="O198" s="2" t="s">
        <v>32</v>
      </c>
      <c r="P198" s="8">
        <v>0</v>
      </c>
    </row>
    <row r="199" spans="1:16" x14ac:dyDescent="0.3">
      <c r="A199" s="16"/>
      <c r="B199" s="1">
        <v>198</v>
      </c>
      <c r="C199" s="1" t="s">
        <v>179</v>
      </c>
      <c r="D199" s="1">
        <v>2080079505</v>
      </c>
      <c r="E199" s="1" t="s">
        <v>985</v>
      </c>
      <c r="F199" s="1" t="s">
        <v>986</v>
      </c>
      <c r="G199" s="1" t="s">
        <v>88</v>
      </c>
      <c r="H199" s="1" t="s">
        <v>18</v>
      </c>
      <c r="I199" s="1" t="s">
        <v>120</v>
      </c>
      <c r="J199" s="1" t="s">
        <v>20</v>
      </c>
      <c r="K199" s="2" t="s">
        <v>20</v>
      </c>
      <c r="L199" s="6">
        <v>41</v>
      </c>
      <c r="M199" s="2">
        <v>0.59</v>
      </c>
      <c r="N199" s="6" t="s">
        <v>58</v>
      </c>
      <c r="O199" s="2" t="s">
        <v>22</v>
      </c>
      <c r="P199" s="8">
        <v>29000</v>
      </c>
    </row>
    <row r="200" spans="1:16" x14ac:dyDescent="0.3">
      <c r="A200" s="16"/>
      <c r="B200" s="1">
        <v>199</v>
      </c>
      <c r="C200" s="1" t="s">
        <v>179</v>
      </c>
      <c r="D200" s="1">
        <v>811302799</v>
      </c>
      <c r="E200" s="1" t="s">
        <v>180</v>
      </c>
      <c r="F200" s="1" t="s">
        <v>181</v>
      </c>
      <c r="G200" s="1" t="s">
        <v>17</v>
      </c>
      <c r="H200" s="1" t="s">
        <v>18</v>
      </c>
      <c r="I200" s="1" t="s">
        <v>30</v>
      </c>
      <c r="J200" s="1" t="s">
        <v>20</v>
      </c>
      <c r="K200" s="2" t="s">
        <v>20</v>
      </c>
      <c r="L200" s="6">
        <v>35</v>
      </c>
      <c r="M200" s="2">
        <v>0</v>
      </c>
      <c r="N200" s="6" t="s">
        <v>31</v>
      </c>
      <c r="O200" s="2" t="s">
        <v>32</v>
      </c>
      <c r="P200" s="8">
        <v>0</v>
      </c>
    </row>
    <row r="201" spans="1:16" x14ac:dyDescent="0.3">
      <c r="A201" s="16"/>
      <c r="B201" s="1">
        <v>200</v>
      </c>
      <c r="C201" s="1" t="s">
        <v>179</v>
      </c>
      <c r="D201" s="1">
        <v>2080077738</v>
      </c>
      <c r="E201" s="1" t="s">
        <v>987</v>
      </c>
      <c r="F201" s="1" t="s">
        <v>988</v>
      </c>
      <c r="G201" s="1" t="s">
        <v>17</v>
      </c>
      <c r="H201" s="1" t="s">
        <v>18</v>
      </c>
      <c r="I201" s="1" t="s">
        <v>19</v>
      </c>
      <c r="J201" s="1" t="s">
        <v>20</v>
      </c>
      <c r="K201" s="2" t="s">
        <v>20</v>
      </c>
      <c r="L201" s="6">
        <v>53</v>
      </c>
      <c r="M201" s="2">
        <v>0.3</v>
      </c>
      <c r="N201" s="6" t="s">
        <v>21</v>
      </c>
      <c r="O201" s="2" t="s">
        <v>74</v>
      </c>
      <c r="P201" s="8">
        <v>16000</v>
      </c>
    </row>
    <row r="202" spans="1:16" x14ac:dyDescent="0.3">
      <c r="A202" s="16"/>
      <c r="B202" s="1">
        <v>201</v>
      </c>
      <c r="C202" s="1" t="s">
        <v>179</v>
      </c>
      <c r="D202" s="1">
        <v>55590085</v>
      </c>
      <c r="E202" s="1" t="s">
        <v>182</v>
      </c>
      <c r="F202" s="1" t="s">
        <v>183</v>
      </c>
      <c r="G202" s="1" t="s">
        <v>17</v>
      </c>
      <c r="H202" s="1" t="s">
        <v>25</v>
      </c>
      <c r="I202" s="1" t="s">
        <v>184</v>
      </c>
      <c r="J202" s="1" t="s">
        <v>1015</v>
      </c>
      <c r="K202" s="2" t="s">
        <v>1015</v>
      </c>
      <c r="L202" s="6">
        <v>51</v>
      </c>
      <c r="M202" s="2">
        <v>0.61</v>
      </c>
      <c r="N202" s="6" t="s">
        <v>36</v>
      </c>
      <c r="O202" s="2" t="s">
        <v>22</v>
      </c>
      <c r="P202" s="8">
        <v>31000</v>
      </c>
    </row>
    <row r="203" spans="1:16" x14ac:dyDescent="0.3">
      <c r="A203" s="16"/>
      <c r="B203" s="1">
        <v>202</v>
      </c>
      <c r="C203" s="1" t="s">
        <v>179</v>
      </c>
      <c r="D203" s="1">
        <v>2080077801</v>
      </c>
      <c r="E203" s="1" t="s">
        <v>989</v>
      </c>
      <c r="F203" s="1" t="s">
        <v>382</v>
      </c>
      <c r="G203" s="1" t="s">
        <v>17</v>
      </c>
      <c r="H203" s="1" t="s">
        <v>18</v>
      </c>
      <c r="I203" s="1" t="s">
        <v>19</v>
      </c>
      <c r="J203" s="1" t="s">
        <v>20</v>
      </c>
      <c r="K203" s="2" t="s">
        <v>20</v>
      </c>
      <c r="L203" s="6">
        <v>31</v>
      </c>
      <c r="M203" s="2">
        <v>2.3199999999999998</v>
      </c>
      <c r="N203" s="6" t="s">
        <v>21</v>
      </c>
      <c r="O203" s="2" t="s">
        <v>74</v>
      </c>
      <c r="P203" s="8">
        <v>218000</v>
      </c>
    </row>
    <row r="204" spans="1:16" x14ac:dyDescent="0.3">
      <c r="A204" s="16"/>
      <c r="B204" s="1">
        <v>203</v>
      </c>
      <c r="C204" s="1" t="s">
        <v>179</v>
      </c>
      <c r="D204" s="1">
        <v>54648405</v>
      </c>
      <c r="E204" s="1" t="s">
        <v>185</v>
      </c>
      <c r="F204" s="1" t="s">
        <v>186</v>
      </c>
      <c r="G204" s="1" t="s">
        <v>17</v>
      </c>
      <c r="H204" s="1" t="s">
        <v>25</v>
      </c>
      <c r="I204" s="1" t="s">
        <v>184</v>
      </c>
      <c r="J204" s="1" t="s">
        <v>1015</v>
      </c>
      <c r="K204" s="2" t="s">
        <v>1015</v>
      </c>
      <c r="L204" s="6">
        <v>28</v>
      </c>
      <c r="M204" s="2">
        <v>1.51</v>
      </c>
      <c r="N204" s="6" t="s">
        <v>21</v>
      </c>
      <c r="O204" s="2" t="s">
        <v>22</v>
      </c>
      <c r="P204" s="8">
        <v>49000</v>
      </c>
    </row>
    <row r="205" spans="1:16" x14ac:dyDescent="0.3">
      <c r="A205" s="16"/>
      <c r="B205" s="1">
        <v>204</v>
      </c>
      <c r="C205" s="1" t="s">
        <v>179</v>
      </c>
      <c r="D205" s="1">
        <v>2080078796</v>
      </c>
      <c r="E205" s="1" t="s">
        <v>990</v>
      </c>
      <c r="F205" s="1" t="s">
        <v>991</v>
      </c>
      <c r="G205" s="1" t="s">
        <v>17</v>
      </c>
      <c r="H205" s="1" t="s">
        <v>18</v>
      </c>
      <c r="I205" s="1" t="s">
        <v>19</v>
      </c>
      <c r="J205" s="1" t="s">
        <v>20</v>
      </c>
      <c r="K205" s="2" t="s">
        <v>20</v>
      </c>
      <c r="L205" s="6">
        <v>41</v>
      </c>
      <c r="M205" s="2">
        <v>0.26</v>
      </c>
      <c r="N205" s="6" t="s">
        <v>58</v>
      </c>
      <c r="O205" s="2" t="s">
        <v>22</v>
      </c>
      <c r="P205" s="8">
        <v>11000</v>
      </c>
    </row>
    <row r="206" spans="1:16" x14ac:dyDescent="0.3">
      <c r="A206" s="16"/>
      <c r="B206" s="1">
        <v>205</v>
      </c>
      <c r="C206" s="1" t="s">
        <v>179</v>
      </c>
      <c r="D206" s="1">
        <v>55535167</v>
      </c>
      <c r="E206" s="1" t="s">
        <v>187</v>
      </c>
      <c r="F206" s="1" t="s">
        <v>188</v>
      </c>
      <c r="G206" s="1" t="s">
        <v>17</v>
      </c>
      <c r="H206" s="1" t="s">
        <v>18</v>
      </c>
      <c r="I206" s="1" t="s">
        <v>19</v>
      </c>
      <c r="J206" s="1" t="s">
        <v>20</v>
      </c>
      <c r="K206" s="2" t="s">
        <v>20</v>
      </c>
      <c r="L206" s="6">
        <v>53</v>
      </c>
      <c r="M206" s="2">
        <v>2.94</v>
      </c>
      <c r="N206" s="6" t="s">
        <v>21</v>
      </c>
      <c r="O206" s="2" t="s">
        <v>27</v>
      </c>
      <c r="P206" s="8">
        <v>115000</v>
      </c>
    </row>
    <row r="207" spans="1:16" x14ac:dyDescent="0.3">
      <c r="A207" s="16"/>
      <c r="B207" s="1">
        <v>206</v>
      </c>
      <c r="C207" s="1" t="s">
        <v>179</v>
      </c>
      <c r="D207" s="1">
        <v>1950669239</v>
      </c>
      <c r="E207" s="1" t="s">
        <v>1073</v>
      </c>
      <c r="F207" s="1" t="s">
        <v>1244</v>
      </c>
      <c r="G207" s="1" t="s">
        <v>17</v>
      </c>
      <c r="H207" s="1" t="s">
        <v>18</v>
      </c>
      <c r="I207" s="1" t="s">
        <v>30</v>
      </c>
      <c r="J207" s="1" t="s">
        <v>20</v>
      </c>
      <c r="K207" s="2" t="s">
        <v>20</v>
      </c>
      <c r="L207" s="6">
        <v>48</v>
      </c>
      <c r="M207" s="2">
        <v>0</v>
      </c>
      <c r="N207" s="6" t="s">
        <v>31</v>
      </c>
      <c r="O207" s="2" t="s">
        <v>32</v>
      </c>
      <c r="P207" s="8">
        <v>0</v>
      </c>
    </row>
    <row r="208" spans="1:16" x14ac:dyDescent="0.3">
      <c r="A208" s="16"/>
      <c r="B208" s="1">
        <v>207</v>
      </c>
      <c r="C208" s="1" t="s">
        <v>179</v>
      </c>
      <c r="D208" s="1">
        <v>55539379</v>
      </c>
      <c r="E208" s="1" t="s">
        <v>1074</v>
      </c>
      <c r="F208" s="1" t="s">
        <v>1245</v>
      </c>
      <c r="G208" s="1" t="s">
        <v>17</v>
      </c>
      <c r="H208" s="1" t="s">
        <v>18</v>
      </c>
      <c r="I208" s="1" t="s">
        <v>120</v>
      </c>
      <c r="J208" s="1" t="s">
        <v>20</v>
      </c>
      <c r="K208" s="2" t="s">
        <v>20</v>
      </c>
      <c r="L208" s="6">
        <v>40</v>
      </c>
      <c r="M208" s="2">
        <v>2.5099999999999998</v>
      </c>
      <c r="N208" s="6" t="s">
        <v>58</v>
      </c>
      <c r="O208" s="2" t="s">
        <v>22</v>
      </c>
      <c r="P208" s="8">
        <v>89000</v>
      </c>
    </row>
    <row r="209" spans="1:16" x14ac:dyDescent="0.3">
      <c r="A209" s="16"/>
      <c r="B209" s="1">
        <v>208</v>
      </c>
      <c r="C209" s="1" t="s">
        <v>179</v>
      </c>
      <c r="D209" s="1">
        <v>2080979750</v>
      </c>
      <c r="E209" s="1" t="s">
        <v>1075</v>
      </c>
      <c r="F209" s="1" t="s">
        <v>1246</v>
      </c>
      <c r="G209" s="1" t="s">
        <v>17</v>
      </c>
      <c r="H209" s="1" t="s">
        <v>18</v>
      </c>
      <c r="I209" s="1" t="s">
        <v>19</v>
      </c>
      <c r="J209" s="1" t="s">
        <v>20</v>
      </c>
      <c r="K209" s="2" t="s">
        <v>20</v>
      </c>
      <c r="L209" s="6">
        <v>64</v>
      </c>
      <c r="M209" s="2">
        <v>2.66</v>
      </c>
      <c r="N209" s="6" t="s">
        <v>58</v>
      </c>
      <c r="O209" s="2" t="s">
        <v>41</v>
      </c>
      <c r="P209" s="8">
        <v>73000</v>
      </c>
    </row>
    <row r="210" spans="1:16" x14ac:dyDescent="0.3">
      <c r="A210" s="16"/>
      <c r="B210" s="1">
        <v>209</v>
      </c>
      <c r="C210" s="1" t="s">
        <v>179</v>
      </c>
      <c r="D210" s="1">
        <v>55957811</v>
      </c>
      <c r="E210" s="1" t="s">
        <v>189</v>
      </c>
      <c r="F210" s="1" t="s">
        <v>190</v>
      </c>
      <c r="G210" s="1" t="s">
        <v>88</v>
      </c>
      <c r="H210" s="1" t="s">
        <v>18</v>
      </c>
      <c r="I210" s="1" t="s">
        <v>30</v>
      </c>
      <c r="J210" s="1" t="s">
        <v>20</v>
      </c>
      <c r="K210" s="2" t="s">
        <v>20</v>
      </c>
      <c r="L210" s="6">
        <v>35</v>
      </c>
      <c r="M210" s="2">
        <v>0</v>
      </c>
      <c r="N210" s="6" t="s">
        <v>31</v>
      </c>
      <c r="O210" s="2" t="s">
        <v>32</v>
      </c>
      <c r="P210" s="8">
        <v>0</v>
      </c>
    </row>
    <row r="211" spans="1:16" x14ac:dyDescent="0.3">
      <c r="A211" s="16"/>
      <c r="B211" s="1">
        <v>210</v>
      </c>
      <c r="C211" s="1" t="s">
        <v>179</v>
      </c>
      <c r="D211" s="1">
        <v>1950673774</v>
      </c>
      <c r="E211" s="1" t="s">
        <v>1076</v>
      </c>
      <c r="F211" s="1" t="s">
        <v>680</v>
      </c>
      <c r="G211" s="1" t="s">
        <v>88</v>
      </c>
      <c r="H211" s="1" t="s">
        <v>18</v>
      </c>
      <c r="I211" s="1" t="s">
        <v>120</v>
      </c>
      <c r="J211" s="1" t="s">
        <v>20</v>
      </c>
      <c r="K211" s="2" t="s">
        <v>20</v>
      </c>
      <c r="L211" s="6">
        <v>58</v>
      </c>
      <c r="M211" s="2">
        <v>1.69</v>
      </c>
      <c r="N211" s="6" t="s">
        <v>58</v>
      </c>
      <c r="O211" s="2" t="s">
        <v>22</v>
      </c>
      <c r="P211" s="8">
        <v>42000</v>
      </c>
    </row>
    <row r="212" spans="1:16" x14ac:dyDescent="0.3">
      <c r="A212" s="16"/>
      <c r="B212" s="1">
        <v>211</v>
      </c>
      <c r="C212" s="1" t="s">
        <v>179</v>
      </c>
      <c r="D212" s="1">
        <v>55120623</v>
      </c>
      <c r="E212" s="1" t="s">
        <v>191</v>
      </c>
      <c r="F212" s="1" t="s">
        <v>192</v>
      </c>
      <c r="G212" s="1" t="s">
        <v>17</v>
      </c>
      <c r="H212" s="1" t="s">
        <v>25</v>
      </c>
      <c r="I212" s="1" t="s">
        <v>184</v>
      </c>
      <c r="J212" s="1" t="s">
        <v>1015</v>
      </c>
      <c r="K212" s="2" t="s">
        <v>1015</v>
      </c>
      <c r="L212" s="6">
        <v>76</v>
      </c>
      <c r="M212" s="2">
        <v>1.1599999999999999</v>
      </c>
      <c r="N212" s="6" t="s">
        <v>21</v>
      </c>
      <c r="O212" s="2" t="s">
        <v>55</v>
      </c>
      <c r="P212" s="8">
        <v>53000</v>
      </c>
    </row>
    <row r="213" spans="1:16" x14ac:dyDescent="0.3">
      <c r="A213" s="16"/>
      <c r="B213" s="1">
        <v>212</v>
      </c>
      <c r="C213" s="1" t="s">
        <v>179</v>
      </c>
      <c r="D213" s="1">
        <v>2080079183</v>
      </c>
      <c r="E213" s="1" t="s">
        <v>992</v>
      </c>
      <c r="F213" s="1" t="s">
        <v>993</v>
      </c>
      <c r="G213" s="1" t="s">
        <v>88</v>
      </c>
      <c r="H213" s="1" t="s">
        <v>18</v>
      </c>
      <c r="I213" s="1" t="s">
        <v>120</v>
      </c>
      <c r="J213" s="1" t="s">
        <v>20</v>
      </c>
      <c r="K213" s="2" t="s">
        <v>20</v>
      </c>
      <c r="L213" s="6">
        <v>63</v>
      </c>
      <c r="M213" s="2">
        <v>1.8</v>
      </c>
      <c r="N213" s="6" t="s">
        <v>21</v>
      </c>
      <c r="O213" s="2" t="s">
        <v>361</v>
      </c>
      <c r="P213" s="8">
        <v>73000</v>
      </c>
    </row>
    <row r="214" spans="1:16" x14ac:dyDescent="0.3">
      <c r="A214" s="16"/>
      <c r="B214" s="1">
        <v>213</v>
      </c>
      <c r="C214" s="1" t="s">
        <v>179</v>
      </c>
      <c r="D214" s="1">
        <v>55460644</v>
      </c>
      <c r="E214" s="1" t="s">
        <v>193</v>
      </c>
      <c r="F214" s="1" t="s">
        <v>194</v>
      </c>
      <c r="G214" s="1" t="s">
        <v>17</v>
      </c>
      <c r="H214" s="1" t="s">
        <v>18</v>
      </c>
      <c r="I214" s="1" t="s">
        <v>19</v>
      </c>
      <c r="J214" s="1" t="s">
        <v>20</v>
      </c>
      <c r="K214" s="2" t="s">
        <v>20</v>
      </c>
      <c r="L214" s="6">
        <v>57</v>
      </c>
      <c r="M214" s="2">
        <v>1.53</v>
      </c>
      <c r="N214" s="6" t="s">
        <v>58</v>
      </c>
      <c r="O214" s="2" t="s">
        <v>195</v>
      </c>
      <c r="P214" s="8">
        <v>39000</v>
      </c>
    </row>
    <row r="215" spans="1:16" x14ac:dyDescent="0.3">
      <c r="A215" s="16"/>
      <c r="B215" s="1">
        <v>214</v>
      </c>
      <c r="C215" s="1" t="s">
        <v>179</v>
      </c>
      <c r="D215" s="1">
        <v>1951683210</v>
      </c>
      <c r="E215" s="1" t="s">
        <v>817</v>
      </c>
      <c r="F215" s="1" t="s">
        <v>818</v>
      </c>
      <c r="G215" s="1" t="s">
        <v>88</v>
      </c>
      <c r="H215" s="1" t="s">
        <v>18</v>
      </c>
      <c r="I215" s="1" t="s">
        <v>120</v>
      </c>
      <c r="J215" s="1" t="s">
        <v>20</v>
      </c>
      <c r="K215" s="2" t="s">
        <v>20</v>
      </c>
      <c r="L215" s="6">
        <v>55</v>
      </c>
      <c r="M215" s="2">
        <v>3.73</v>
      </c>
      <c r="N215" s="6" t="s">
        <v>21</v>
      </c>
      <c r="O215" s="2" t="s">
        <v>41</v>
      </c>
      <c r="P215" s="8">
        <v>71000</v>
      </c>
    </row>
    <row r="216" spans="1:16" x14ac:dyDescent="0.3">
      <c r="A216" s="16"/>
      <c r="B216" s="1">
        <v>215</v>
      </c>
      <c r="C216" s="1" t="s">
        <v>179</v>
      </c>
      <c r="D216" s="1">
        <v>811348115</v>
      </c>
      <c r="E216" s="1" t="s">
        <v>196</v>
      </c>
      <c r="F216" s="1" t="s">
        <v>197</v>
      </c>
      <c r="G216" s="1" t="s">
        <v>17</v>
      </c>
      <c r="H216" s="1" t="s">
        <v>18</v>
      </c>
      <c r="I216" s="1" t="s">
        <v>30</v>
      </c>
      <c r="J216" s="1" t="s">
        <v>20</v>
      </c>
      <c r="K216" s="2" t="s">
        <v>20</v>
      </c>
      <c r="L216" s="6">
        <v>27</v>
      </c>
      <c r="M216" s="2">
        <v>0</v>
      </c>
      <c r="N216" s="6" t="s">
        <v>31</v>
      </c>
      <c r="O216" s="2" t="s">
        <v>32</v>
      </c>
      <c r="P216" s="8">
        <v>0</v>
      </c>
    </row>
    <row r="217" spans="1:16" x14ac:dyDescent="0.3">
      <c r="A217" s="16"/>
      <c r="B217" s="1">
        <v>216</v>
      </c>
      <c r="C217" s="1" t="s">
        <v>179</v>
      </c>
      <c r="D217" s="1">
        <v>1950672959</v>
      </c>
      <c r="E217" s="1" t="s">
        <v>1077</v>
      </c>
      <c r="F217" s="1" t="s">
        <v>594</v>
      </c>
      <c r="G217" s="1" t="s">
        <v>17</v>
      </c>
      <c r="H217" s="1" t="s">
        <v>25</v>
      </c>
      <c r="I217" s="1" t="s">
        <v>216</v>
      </c>
      <c r="J217" s="1" t="s">
        <v>20</v>
      </c>
      <c r="K217" s="2" t="s">
        <v>1015</v>
      </c>
      <c r="L217" s="6">
        <v>35</v>
      </c>
      <c r="M217" s="2">
        <v>1.78</v>
      </c>
      <c r="N217" s="6" t="s">
        <v>21</v>
      </c>
      <c r="O217" s="2" t="s">
        <v>22</v>
      </c>
      <c r="P217" s="8">
        <v>52000</v>
      </c>
    </row>
    <row r="218" spans="1:16" x14ac:dyDescent="0.3">
      <c r="A218" s="16"/>
      <c r="B218" s="1">
        <v>217</v>
      </c>
      <c r="C218" s="1" t="s">
        <v>179</v>
      </c>
      <c r="D218" s="1">
        <v>811345997</v>
      </c>
      <c r="E218" s="1" t="s">
        <v>198</v>
      </c>
      <c r="F218" s="1" t="s">
        <v>199</v>
      </c>
      <c r="G218" s="1" t="s">
        <v>17</v>
      </c>
      <c r="H218" s="1" t="s">
        <v>18</v>
      </c>
      <c r="I218" s="1" t="s">
        <v>30</v>
      </c>
      <c r="J218" s="1" t="s">
        <v>20</v>
      </c>
      <c r="K218" s="2" t="s">
        <v>20</v>
      </c>
      <c r="L218" s="6">
        <v>36</v>
      </c>
      <c r="M218" s="2">
        <v>0</v>
      </c>
      <c r="N218" s="6" t="s">
        <v>31</v>
      </c>
      <c r="O218" s="2" t="s">
        <v>32</v>
      </c>
      <c r="P218" s="8">
        <v>0</v>
      </c>
    </row>
    <row r="219" spans="1:16" x14ac:dyDescent="0.3">
      <c r="A219" s="16"/>
      <c r="B219" s="1">
        <v>218</v>
      </c>
      <c r="C219" s="1" t="s">
        <v>179</v>
      </c>
      <c r="D219" s="1">
        <v>2080980136</v>
      </c>
      <c r="E219" s="1" t="s">
        <v>994</v>
      </c>
      <c r="F219" s="1" t="s">
        <v>905</v>
      </c>
      <c r="G219" s="1" t="s">
        <v>17</v>
      </c>
      <c r="H219" s="1" t="s">
        <v>18</v>
      </c>
      <c r="I219" s="1" t="s">
        <v>30</v>
      </c>
      <c r="J219" s="1" t="s">
        <v>20</v>
      </c>
      <c r="K219" s="2" t="s">
        <v>20</v>
      </c>
      <c r="L219" s="6">
        <v>80</v>
      </c>
      <c r="M219" s="2">
        <v>0</v>
      </c>
      <c r="N219" s="6" t="s">
        <v>31</v>
      </c>
      <c r="O219" s="2" t="s">
        <v>32</v>
      </c>
      <c r="P219" s="8">
        <v>0</v>
      </c>
    </row>
    <row r="220" spans="1:16" x14ac:dyDescent="0.3">
      <c r="A220" s="16"/>
      <c r="B220" s="1">
        <v>219</v>
      </c>
      <c r="C220" s="1" t="s">
        <v>179</v>
      </c>
      <c r="D220" s="1">
        <v>55166996</v>
      </c>
      <c r="E220" s="1" t="s">
        <v>200</v>
      </c>
      <c r="F220" s="1" t="s">
        <v>201</v>
      </c>
      <c r="G220" s="1" t="s">
        <v>17</v>
      </c>
      <c r="H220" s="1" t="s">
        <v>18</v>
      </c>
      <c r="I220" s="1" t="s">
        <v>30</v>
      </c>
      <c r="J220" s="1" t="s">
        <v>20</v>
      </c>
      <c r="K220" s="2" t="s">
        <v>20</v>
      </c>
      <c r="L220" s="6">
        <v>78</v>
      </c>
      <c r="M220" s="2">
        <v>0</v>
      </c>
      <c r="N220" s="6" t="s">
        <v>31</v>
      </c>
      <c r="O220" s="2" t="s">
        <v>32</v>
      </c>
      <c r="P220" s="8">
        <v>0</v>
      </c>
    </row>
    <row r="221" spans="1:16" x14ac:dyDescent="0.3">
      <c r="A221" s="16"/>
      <c r="B221" s="1">
        <v>220</v>
      </c>
      <c r="C221" s="1" t="s">
        <v>179</v>
      </c>
      <c r="D221" s="1">
        <v>1950672802</v>
      </c>
      <c r="E221" s="1" t="s">
        <v>1078</v>
      </c>
      <c r="F221" s="1" t="s">
        <v>1213</v>
      </c>
      <c r="G221" s="1" t="s">
        <v>17</v>
      </c>
      <c r="H221" s="1" t="s">
        <v>25</v>
      </c>
      <c r="I221" s="1" t="s">
        <v>216</v>
      </c>
      <c r="J221" s="1" t="s">
        <v>20</v>
      </c>
      <c r="K221" s="2" t="s">
        <v>20</v>
      </c>
      <c r="L221" s="6">
        <v>81</v>
      </c>
      <c r="M221" s="2">
        <v>0.56999999999999995</v>
      </c>
      <c r="N221" s="6" t="s">
        <v>21</v>
      </c>
      <c r="O221" s="2" t="s">
        <v>22</v>
      </c>
      <c r="P221" s="8">
        <v>20000</v>
      </c>
    </row>
    <row r="222" spans="1:16" x14ac:dyDescent="0.3">
      <c r="A222" s="16"/>
      <c r="B222" s="1">
        <v>221</v>
      </c>
      <c r="C222" s="1" t="s">
        <v>179</v>
      </c>
      <c r="D222" s="1">
        <v>54643241</v>
      </c>
      <c r="E222" s="1" t="s">
        <v>202</v>
      </c>
      <c r="F222" s="1" t="s">
        <v>203</v>
      </c>
      <c r="G222" s="1" t="s">
        <v>17</v>
      </c>
      <c r="H222" s="1" t="s">
        <v>25</v>
      </c>
      <c r="I222" s="1" t="s">
        <v>184</v>
      </c>
      <c r="J222" s="1" t="s">
        <v>20</v>
      </c>
      <c r="K222" s="2" t="s">
        <v>20</v>
      </c>
      <c r="L222" s="6">
        <v>66</v>
      </c>
      <c r="M222" s="2">
        <v>2.91</v>
      </c>
      <c r="N222" s="6" t="s">
        <v>21</v>
      </c>
      <c r="O222" s="2" t="s">
        <v>22</v>
      </c>
      <c r="P222" s="8">
        <v>122000</v>
      </c>
    </row>
    <row r="223" spans="1:16" x14ac:dyDescent="0.3">
      <c r="A223" s="16"/>
      <c r="B223" s="1">
        <v>222</v>
      </c>
      <c r="C223" s="1" t="s">
        <v>179</v>
      </c>
      <c r="D223" s="1">
        <v>2080077516</v>
      </c>
      <c r="E223" s="1" t="s">
        <v>995</v>
      </c>
      <c r="F223" s="1" t="s">
        <v>996</v>
      </c>
      <c r="G223" s="1" t="s">
        <v>17</v>
      </c>
      <c r="H223" s="1" t="s">
        <v>18</v>
      </c>
      <c r="I223" s="1" t="s">
        <v>19</v>
      </c>
      <c r="J223" s="1" t="s">
        <v>20</v>
      </c>
      <c r="K223" s="2" t="s">
        <v>20</v>
      </c>
      <c r="L223" s="6">
        <v>54</v>
      </c>
      <c r="M223" s="2">
        <v>0.79</v>
      </c>
      <c r="N223" s="6" t="s">
        <v>21</v>
      </c>
      <c r="O223" s="2" t="s">
        <v>27</v>
      </c>
      <c r="P223" s="8">
        <v>42000</v>
      </c>
    </row>
    <row r="224" spans="1:16" x14ac:dyDescent="0.3">
      <c r="A224" s="16"/>
      <c r="B224" s="1">
        <v>223</v>
      </c>
      <c r="C224" s="1" t="s">
        <v>179</v>
      </c>
      <c r="D224" s="1">
        <v>55565314</v>
      </c>
      <c r="E224" s="1" t="s">
        <v>204</v>
      </c>
      <c r="F224" s="1" t="s">
        <v>205</v>
      </c>
      <c r="G224" s="1" t="s">
        <v>17</v>
      </c>
      <c r="H224" s="1" t="s">
        <v>25</v>
      </c>
      <c r="I224" s="1" t="s">
        <v>184</v>
      </c>
      <c r="J224" s="1" t="s">
        <v>1015</v>
      </c>
      <c r="K224" s="2" t="s">
        <v>1015</v>
      </c>
      <c r="L224" s="6">
        <v>28</v>
      </c>
      <c r="M224" s="2">
        <v>3.03</v>
      </c>
      <c r="N224" s="6" t="s">
        <v>21</v>
      </c>
      <c r="O224" s="2" t="s">
        <v>27</v>
      </c>
      <c r="P224" s="8">
        <v>64000</v>
      </c>
    </row>
    <row r="225" spans="1:16" x14ac:dyDescent="0.3">
      <c r="A225" s="16"/>
      <c r="B225" s="1">
        <v>224</v>
      </c>
      <c r="C225" s="1" t="s">
        <v>179</v>
      </c>
      <c r="D225" s="1">
        <v>1950668922</v>
      </c>
      <c r="E225" s="1" t="s">
        <v>1079</v>
      </c>
      <c r="F225" s="1" t="s">
        <v>1247</v>
      </c>
      <c r="G225" s="1" t="s">
        <v>17</v>
      </c>
      <c r="H225" s="1" t="s">
        <v>25</v>
      </c>
      <c r="I225" s="1" t="s">
        <v>216</v>
      </c>
      <c r="J225" s="1" t="s">
        <v>20</v>
      </c>
      <c r="K225" s="2" t="s">
        <v>1015</v>
      </c>
      <c r="L225" s="6">
        <v>67</v>
      </c>
      <c r="M225" s="2">
        <v>0.21</v>
      </c>
      <c r="N225" s="6" t="s">
        <v>21</v>
      </c>
      <c r="O225" s="2" t="s">
        <v>22</v>
      </c>
      <c r="P225" s="8">
        <v>12000</v>
      </c>
    </row>
    <row r="226" spans="1:16" x14ac:dyDescent="0.3">
      <c r="A226" s="16"/>
      <c r="B226" s="1">
        <v>225</v>
      </c>
      <c r="C226" s="1" t="s">
        <v>179</v>
      </c>
      <c r="D226" s="1">
        <v>22256830</v>
      </c>
      <c r="E226" s="1" t="s">
        <v>206</v>
      </c>
      <c r="F226" s="1" t="s">
        <v>207</v>
      </c>
      <c r="G226" s="1" t="s">
        <v>17</v>
      </c>
      <c r="H226" s="1" t="s">
        <v>25</v>
      </c>
      <c r="I226" s="1" t="s">
        <v>26</v>
      </c>
      <c r="J226" s="1" t="s">
        <v>20</v>
      </c>
      <c r="K226" s="2" t="s">
        <v>20</v>
      </c>
      <c r="L226" s="6">
        <v>50</v>
      </c>
      <c r="M226" s="2">
        <v>1.28</v>
      </c>
      <c r="N226" s="6" t="s">
        <v>58</v>
      </c>
      <c r="O226" s="2" t="s">
        <v>22</v>
      </c>
      <c r="P226" s="8">
        <v>51000</v>
      </c>
    </row>
    <row r="227" spans="1:16" x14ac:dyDescent="0.3">
      <c r="A227" s="16"/>
      <c r="B227" s="1">
        <v>226</v>
      </c>
      <c r="C227" s="1" t="s">
        <v>179</v>
      </c>
      <c r="D227" s="1">
        <v>2080079550</v>
      </c>
      <c r="E227" s="1" t="s">
        <v>997</v>
      </c>
      <c r="F227" s="1" t="s">
        <v>998</v>
      </c>
      <c r="G227" s="1" t="s">
        <v>88</v>
      </c>
      <c r="H227" s="1" t="s">
        <v>25</v>
      </c>
      <c r="I227" s="1" t="s">
        <v>216</v>
      </c>
      <c r="J227" s="1" t="s">
        <v>20</v>
      </c>
      <c r="K227" s="2" t="s">
        <v>20</v>
      </c>
      <c r="L227" s="6">
        <v>75</v>
      </c>
      <c r="M227" s="2">
        <v>1.41</v>
      </c>
      <c r="N227" s="6" t="s">
        <v>58</v>
      </c>
      <c r="O227" s="2" t="s">
        <v>22</v>
      </c>
      <c r="P227" s="8">
        <v>30000</v>
      </c>
    </row>
    <row r="228" spans="1:16" x14ac:dyDescent="0.3">
      <c r="A228" s="16"/>
      <c r="B228" s="1">
        <v>227</v>
      </c>
      <c r="C228" s="1" t="s">
        <v>179</v>
      </c>
      <c r="D228" s="1">
        <v>811301456</v>
      </c>
      <c r="E228" s="1" t="s">
        <v>1080</v>
      </c>
      <c r="F228" s="1" t="s">
        <v>903</v>
      </c>
      <c r="G228" s="1" t="s">
        <v>17</v>
      </c>
      <c r="H228" s="1" t="s">
        <v>18</v>
      </c>
      <c r="I228" s="1" t="s">
        <v>30</v>
      </c>
      <c r="J228" s="1" t="s">
        <v>20</v>
      </c>
      <c r="K228" s="2" t="s">
        <v>20</v>
      </c>
      <c r="L228" s="6">
        <v>32</v>
      </c>
      <c r="M228" s="2">
        <v>0</v>
      </c>
      <c r="N228" s="6" t="s">
        <v>31</v>
      </c>
      <c r="O228" s="2" t="s">
        <v>32</v>
      </c>
      <c r="P228" s="8">
        <v>0</v>
      </c>
    </row>
    <row r="229" spans="1:16" x14ac:dyDescent="0.3">
      <c r="A229" s="16"/>
      <c r="B229" s="1">
        <v>228</v>
      </c>
      <c r="C229" s="1" t="s">
        <v>179</v>
      </c>
      <c r="D229" s="1">
        <v>2080077094</v>
      </c>
      <c r="E229" s="1" t="s">
        <v>999</v>
      </c>
      <c r="F229" s="1" t="s">
        <v>1000</v>
      </c>
      <c r="G229" s="1" t="s">
        <v>17</v>
      </c>
      <c r="H229" s="1" t="s">
        <v>18</v>
      </c>
      <c r="I229" s="1" t="s">
        <v>30</v>
      </c>
      <c r="J229" s="1" t="s">
        <v>20</v>
      </c>
      <c r="K229" s="2" t="s">
        <v>20</v>
      </c>
      <c r="L229" s="6">
        <v>34</v>
      </c>
      <c r="M229" s="2">
        <v>0</v>
      </c>
      <c r="N229" s="6" t="s">
        <v>31</v>
      </c>
      <c r="O229" s="2" t="s">
        <v>32</v>
      </c>
      <c r="P229" s="8">
        <v>0</v>
      </c>
    </row>
    <row r="230" spans="1:16" x14ac:dyDescent="0.3">
      <c r="A230" s="16"/>
      <c r="B230" s="1">
        <v>229</v>
      </c>
      <c r="C230" s="1" t="s">
        <v>179</v>
      </c>
      <c r="D230" s="1">
        <v>55529771</v>
      </c>
      <c r="E230" s="1" t="s">
        <v>208</v>
      </c>
      <c r="F230" s="1" t="s">
        <v>209</v>
      </c>
      <c r="G230" s="1" t="s">
        <v>17</v>
      </c>
      <c r="H230" s="1" t="s">
        <v>18</v>
      </c>
      <c r="I230" s="1" t="s">
        <v>30</v>
      </c>
      <c r="J230" s="1" t="s">
        <v>1015</v>
      </c>
      <c r="K230" s="2" t="s">
        <v>1015</v>
      </c>
      <c r="L230" s="6">
        <v>55</v>
      </c>
      <c r="M230" s="2">
        <v>0</v>
      </c>
      <c r="N230" s="6" t="s">
        <v>31</v>
      </c>
      <c r="O230" s="2" t="s">
        <v>32</v>
      </c>
      <c r="P230" s="8">
        <v>0</v>
      </c>
    </row>
    <row r="231" spans="1:16" x14ac:dyDescent="0.3">
      <c r="A231" s="16"/>
      <c r="B231" s="1">
        <v>230</v>
      </c>
      <c r="C231" s="1" t="s">
        <v>179</v>
      </c>
      <c r="D231" s="1">
        <v>811302509</v>
      </c>
      <c r="E231" s="1" t="s">
        <v>210</v>
      </c>
      <c r="F231" s="1" t="s">
        <v>211</v>
      </c>
      <c r="G231" s="1" t="s">
        <v>17</v>
      </c>
      <c r="H231" s="1" t="s">
        <v>18</v>
      </c>
      <c r="I231" s="1" t="s">
        <v>19</v>
      </c>
      <c r="J231" s="1" t="s">
        <v>20</v>
      </c>
      <c r="K231" s="2" t="s">
        <v>20</v>
      </c>
      <c r="L231" s="6">
        <v>40</v>
      </c>
      <c r="M231" s="2">
        <v>4.4400000000000004</v>
      </c>
      <c r="N231" s="6" t="s">
        <v>58</v>
      </c>
      <c r="O231" s="2" t="s">
        <v>55</v>
      </c>
      <c r="P231" s="8">
        <v>95000</v>
      </c>
    </row>
    <row r="232" spans="1:16" x14ac:dyDescent="0.3">
      <c r="A232" s="16"/>
      <c r="B232" s="1">
        <v>231</v>
      </c>
      <c r="C232" s="1" t="s">
        <v>179</v>
      </c>
      <c r="D232" s="1">
        <v>55599983</v>
      </c>
      <c r="E232" s="1" t="s">
        <v>212</v>
      </c>
      <c r="F232" s="1" t="s">
        <v>213</v>
      </c>
      <c r="G232" s="1" t="s">
        <v>17</v>
      </c>
      <c r="H232" s="1" t="s">
        <v>18</v>
      </c>
      <c r="I232" s="1" t="s">
        <v>30</v>
      </c>
      <c r="J232" s="1" t="s">
        <v>1015</v>
      </c>
      <c r="K232" s="2" t="s">
        <v>1015</v>
      </c>
      <c r="L232" s="6">
        <v>69</v>
      </c>
      <c r="M232" s="2">
        <v>0</v>
      </c>
      <c r="N232" s="6" t="s">
        <v>31</v>
      </c>
      <c r="O232" s="2" t="s">
        <v>32</v>
      </c>
      <c r="P232" s="8">
        <v>0</v>
      </c>
    </row>
    <row r="233" spans="1:16" x14ac:dyDescent="0.3">
      <c r="A233" s="16"/>
      <c r="B233" s="1">
        <v>232</v>
      </c>
      <c r="C233" s="1" t="s">
        <v>179</v>
      </c>
      <c r="D233" s="1">
        <v>55164779</v>
      </c>
      <c r="E233" s="1" t="s">
        <v>1081</v>
      </c>
      <c r="F233" s="1" t="s">
        <v>1248</v>
      </c>
      <c r="G233" s="1" t="s">
        <v>17</v>
      </c>
      <c r="H233" s="1" t="s">
        <v>25</v>
      </c>
      <c r="I233" s="1" t="s">
        <v>184</v>
      </c>
      <c r="J233" s="1" t="s">
        <v>1015</v>
      </c>
      <c r="K233" s="2" t="s">
        <v>1015</v>
      </c>
      <c r="L233" s="6">
        <v>75</v>
      </c>
      <c r="M233" s="2">
        <v>0.47</v>
      </c>
      <c r="N233" s="6" t="s">
        <v>58</v>
      </c>
      <c r="O233" s="2" t="s">
        <v>41</v>
      </c>
      <c r="P233" s="8">
        <v>12000</v>
      </c>
    </row>
    <row r="234" spans="1:16" x14ac:dyDescent="0.3">
      <c r="A234" s="16"/>
      <c r="B234" s="1">
        <v>233</v>
      </c>
      <c r="C234" s="1" t="s">
        <v>179</v>
      </c>
      <c r="D234" s="1">
        <v>55133579</v>
      </c>
      <c r="E234" s="1" t="s">
        <v>214</v>
      </c>
      <c r="F234" s="1" t="s">
        <v>215</v>
      </c>
      <c r="G234" s="1" t="s">
        <v>17</v>
      </c>
      <c r="H234" s="1" t="s">
        <v>18</v>
      </c>
      <c r="I234" s="1" t="s">
        <v>30</v>
      </c>
      <c r="J234" s="1" t="s">
        <v>20</v>
      </c>
      <c r="K234" s="2" t="s">
        <v>20</v>
      </c>
      <c r="L234" s="6">
        <v>37</v>
      </c>
      <c r="M234" s="2">
        <v>0</v>
      </c>
      <c r="N234" s="6" t="s">
        <v>31</v>
      </c>
      <c r="O234" s="2" t="s">
        <v>32</v>
      </c>
      <c r="P234" s="8">
        <v>0</v>
      </c>
    </row>
    <row r="235" spans="1:16" x14ac:dyDescent="0.3">
      <c r="A235" s="16"/>
      <c r="B235" s="1">
        <v>234</v>
      </c>
      <c r="C235" s="1" t="s">
        <v>179</v>
      </c>
      <c r="D235" s="1">
        <v>811302851</v>
      </c>
      <c r="E235" s="1" t="s">
        <v>1082</v>
      </c>
      <c r="F235" s="1" t="s">
        <v>1249</v>
      </c>
      <c r="G235" s="1" t="s">
        <v>17</v>
      </c>
      <c r="H235" s="1" t="s">
        <v>25</v>
      </c>
      <c r="I235" s="1" t="s">
        <v>216</v>
      </c>
      <c r="J235" s="1" t="s">
        <v>20</v>
      </c>
      <c r="K235" s="2" t="s">
        <v>20</v>
      </c>
      <c r="L235" s="6">
        <v>49</v>
      </c>
      <c r="M235" s="2">
        <v>0.37</v>
      </c>
      <c r="N235" s="6" t="s">
        <v>58</v>
      </c>
      <c r="O235" s="2" t="s">
        <v>74</v>
      </c>
      <c r="P235" s="8">
        <v>38000</v>
      </c>
    </row>
    <row r="236" spans="1:16" x14ac:dyDescent="0.3">
      <c r="A236" s="16"/>
      <c r="B236" s="1">
        <v>235</v>
      </c>
      <c r="C236" s="1" t="s">
        <v>179</v>
      </c>
      <c r="D236" s="1">
        <v>55966164</v>
      </c>
      <c r="E236" s="1" t="s">
        <v>217</v>
      </c>
      <c r="F236" s="1" t="s">
        <v>218</v>
      </c>
      <c r="G236" s="1" t="s">
        <v>17</v>
      </c>
      <c r="H236" s="1" t="s">
        <v>18</v>
      </c>
      <c r="I236" s="1" t="s">
        <v>30</v>
      </c>
      <c r="J236" s="1" t="s">
        <v>20</v>
      </c>
      <c r="K236" s="2" t="s">
        <v>20</v>
      </c>
      <c r="L236" s="6">
        <v>48</v>
      </c>
      <c r="M236" s="2">
        <v>0</v>
      </c>
      <c r="N236" s="6" t="s">
        <v>31</v>
      </c>
      <c r="O236" s="2" t="s">
        <v>32</v>
      </c>
      <c r="P236" s="8">
        <v>0</v>
      </c>
    </row>
    <row r="237" spans="1:16" x14ac:dyDescent="0.3">
      <c r="A237" s="16"/>
      <c r="B237" s="1">
        <v>236</v>
      </c>
      <c r="C237" s="1" t="s">
        <v>179</v>
      </c>
      <c r="D237" s="1">
        <v>55503253</v>
      </c>
      <c r="E237" s="1" t="s">
        <v>219</v>
      </c>
      <c r="F237" s="1" t="s">
        <v>220</v>
      </c>
      <c r="G237" s="1" t="s">
        <v>17</v>
      </c>
      <c r="H237" s="1" t="s">
        <v>18</v>
      </c>
      <c r="I237" s="1" t="s">
        <v>26</v>
      </c>
      <c r="J237" s="1" t="s">
        <v>20</v>
      </c>
      <c r="K237" s="2" t="s">
        <v>20</v>
      </c>
      <c r="L237" s="6">
        <v>64</v>
      </c>
      <c r="M237" s="2">
        <v>1.81</v>
      </c>
      <c r="N237" s="6" t="s">
        <v>21</v>
      </c>
      <c r="O237" s="2" t="s">
        <v>22</v>
      </c>
      <c r="P237" s="8">
        <v>106000</v>
      </c>
    </row>
    <row r="238" spans="1:16" x14ac:dyDescent="0.3">
      <c r="A238" s="16"/>
      <c r="B238" s="1">
        <v>237</v>
      </c>
      <c r="C238" s="1" t="s">
        <v>179</v>
      </c>
      <c r="D238" s="1">
        <v>55550109</v>
      </c>
      <c r="E238" s="1" t="s">
        <v>221</v>
      </c>
      <c r="F238" s="1" t="s">
        <v>222</v>
      </c>
      <c r="G238" s="1" t="s">
        <v>88</v>
      </c>
      <c r="H238" s="1" t="s">
        <v>25</v>
      </c>
      <c r="I238" s="1" t="s">
        <v>184</v>
      </c>
      <c r="J238" s="1" t="s">
        <v>1015</v>
      </c>
      <c r="K238" s="2" t="s">
        <v>1015</v>
      </c>
      <c r="L238" s="6">
        <v>34</v>
      </c>
      <c r="M238" s="2">
        <v>6.97</v>
      </c>
      <c r="N238" s="6" t="s">
        <v>21</v>
      </c>
      <c r="O238" s="2" t="s">
        <v>22</v>
      </c>
      <c r="P238" s="8">
        <v>170000</v>
      </c>
    </row>
    <row r="239" spans="1:16" x14ac:dyDescent="0.3">
      <c r="A239" s="16"/>
      <c r="B239" s="1">
        <v>238</v>
      </c>
      <c r="C239" s="1" t="s">
        <v>179</v>
      </c>
      <c r="D239" s="1">
        <v>55576242</v>
      </c>
      <c r="E239" s="1" t="s">
        <v>1083</v>
      </c>
      <c r="F239" s="1" t="s">
        <v>223</v>
      </c>
      <c r="G239" s="1" t="s">
        <v>88</v>
      </c>
      <c r="H239" s="1" t="s">
        <v>18</v>
      </c>
      <c r="I239" s="1" t="s">
        <v>120</v>
      </c>
      <c r="J239" s="1" t="s">
        <v>20</v>
      </c>
      <c r="K239" s="2" t="s">
        <v>20</v>
      </c>
      <c r="L239" s="6">
        <v>59</v>
      </c>
      <c r="M239" s="2">
        <v>5.71</v>
      </c>
      <c r="N239" s="6" t="s">
        <v>21</v>
      </c>
      <c r="O239" s="2" t="s">
        <v>22</v>
      </c>
      <c r="P239" s="8">
        <v>130000</v>
      </c>
    </row>
    <row r="240" spans="1:16" x14ac:dyDescent="0.3">
      <c r="A240" s="16"/>
      <c r="B240" s="1">
        <v>239</v>
      </c>
      <c r="C240" s="1" t="s">
        <v>179</v>
      </c>
      <c r="D240" s="1">
        <v>28323756</v>
      </c>
      <c r="E240" s="1" t="s">
        <v>224</v>
      </c>
      <c r="F240" s="1" t="s">
        <v>225</v>
      </c>
      <c r="G240" s="1" t="s">
        <v>17</v>
      </c>
      <c r="H240" s="1" t="s">
        <v>18</v>
      </c>
      <c r="I240" s="1" t="s">
        <v>120</v>
      </c>
      <c r="J240" s="1" t="s">
        <v>20</v>
      </c>
      <c r="K240" s="2" t="s">
        <v>20</v>
      </c>
      <c r="L240" s="6">
        <v>72</v>
      </c>
      <c r="M240" s="2">
        <v>0.99</v>
      </c>
      <c r="N240" s="6" t="s">
        <v>21</v>
      </c>
      <c r="O240" s="2" t="s">
        <v>22</v>
      </c>
      <c r="P240" s="8">
        <v>24000</v>
      </c>
    </row>
    <row r="241" spans="1:16" x14ac:dyDescent="0.3">
      <c r="A241" s="16"/>
      <c r="B241" s="1">
        <v>240</v>
      </c>
      <c r="C241" s="1" t="s">
        <v>179</v>
      </c>
      <c r="D241" s="1">
        <v>54113345</v>
      </c>
      <c r="E241" s="1" t="s">
        <v>226</v>
      </c>
      <c r="F241" s="1" t="s">
        <v>227</v>
      </c>
      <c r="G241" s="1" t="s">
        <v>17</v>
      </c>
      <c r="H241" s="1" t="s">
        <v>18</v>
      </c>
      <c r="I241" s="1" t="s">
        <v>30</v>
      </c>
      <c r="J241" s="1" t="s">
        <v>20</v>
      </c>
      <c r="K241" s="2" t="s">
        <v>20</v>
      </c>
      <c r="L241" s="6">
        <v>36</v>
      </c>
      <c r="M241" s="2">
        <v>0</v>
      </c>
      <c r="N241" s="6" t="s">
        <v>31</v>
      </c>
      <c r="O241" s="2" t="s">
        <v>32</v>
      </c>
      <c r="P241" s="8">
        <v>0</v>
      </c>
    </row>
    <row r="242" spans="1:16" x14ac:dyDescent="0.3">
      <c r="A242" s="16"/>
      <c r="B242" s="1">
        <v>241</v>
      </c>
      <c r="C242" s="1" t="s">
        <v>179</v>
      </c>
      <c r="D242" s="1">
        <v>55130336</v>
      </c>
      <c r="E242" s="1" t="s">
        <v>228</v>
      </c>
      <c r="F242" s="1" t="s">
        <v>229</v>
      </c>
      <c r="G242" s="1" t="s">
        <v>17</v>
      </c>
      <c r="H242" s="1" t="s">
        <v>18</v>
      </c>
      <c r="I242" s="1" t="s">
        <v>30</v>
      </c>
      <c r="J242" s="1" t="s">
        <v>20</v>
      </c>
      <c r="K242" s="2" t="s">
        <v>20</v>
      </c>
      <c r="L242" s="6">
        <v>73</v>
      </c>
      <c r="M242" s="2">
        <v>0</v>
      </c>
      <c r="N242" s="6" t="s">
        <v>31</v>
      </c>
      <c r="O242" s="2" t="s">
        <v>32</v>
      </c>
      <c r="P242" s="8">
        <v>0</v>
      </c>
    </row>
    <row r="243" spans="1:16" x14ac:dyDescent="0.3">
      <c r="A243" s="16"/>
      <c r="B243" s="1">
        <v>242</v>
      </c>
      <c r="C243" s="1" t="s">
        <v>179</v>
      </c>
      <c r="D243" s="1">
        <v>54115575</v>
      </c>
      <c r="E243" s="1" t="s">
        <v>230</v>
      </c>
      <c r="F243" s="1" t="s">
        <v>231</v>
      </c>
      <c r="G243" s="1" t="s">
        <v>17</v>
      </c>
      <c r="H243" s="1" t="s">
        <v>18</v>
      </c>
      <c r="I243" s="1" t="s">
        <v>19</v>
      </c>
      <c r="J243" s="1" t="s">
        <v>20</v>
      </c>
      <c r="K243" s="2" t="s">
        <v>20</v>
      </c>
      <c r="L243" s="6">
        <v>32</v>
      </c>
      <c r="M243" s="2">
        <v>2.2200000000000002</v>
      </c>
      <c r="N243" s="6" t="s">
        <v>21</v>
      </c>
      <c r="O243" s="2" t="s">
        <v>41</v>
      </c>
      <c r="P243" s="8">
        <v>81000</v>
      </c>
    </row>
    <row r="244" spans="1:16" x14ac:dyDescent="0.3">
      <c r="A244" s="16"/>
      <c r="B244" s="1">
        <v>243</v>
      </c>
      <c r="C244" s="1" t="s">
        <v>179</v>
      </c>
      <c r="D244" s="1">
        <v>55612864</v>
      </c>
      <c r="E244" s="1" t="s">
        <v>232</v>
      </c>
      <c r="F244" s="1" t="s">
        <v>233</v>
      </c>
      <c r="G244" s="1" t="s">
        <v>17</v>
      </c>
      <c r="H244" s="1" t="s">
        <v>25</v>
      </c>
      <c r="I244" s="1" t="s">
        <v>26</v>
      </c>
      <c r="J244" s="1" t="s">
        <v>1015</v>
      </c>
      <c r="K244" s="2" t="s">
        <v>1015</v>
      </c>
      <c r="L244" s="6">
        <v>28</v>
      </c>
      <c r="M244" s="2">
        <v>1.1100000000000001</v>
      </c>
      <c r="N244" s="6" t="s">
        <v>21</v>
      </c>
      <c r="O244" s="2" t="s">
        <v>41</v>
      </c>
      <c r="P244" s="8">
        <v>27000</v>
      </c>
    </row>
    <row r="245" spans="1:16" x14ac:dyDescent="0.3">
      <c r="A245" s="16"/>
      <c r="B245" s="1">
        <v>244</v>
      </c>
      <c r="C245" s="1" t="s">
        <v>179</v>
      </c>
      <c r="D245" s="1">
        <v>55156858</v>
      </c>
      <c r="E245" s="1" t="s">
        <v>234</v>
      </c>
      <c r="F245" s="1" t="s">
        <v>235</v>
      </c>
      <c r="G245" s="1" t="s">
        <v>17</v>
      </c>
      <c r="H245" s="1" t="s">
        <v>25</v>
      </c>
      <c r="I245" s="1" t="s">
        <v>184</v>
      </c>
      <c r="J245" s="1" t="s">
        <v>1015</v>
      </c>
      <c r="K245" s="2" t="s">
        <v>1015</v>
      </c>
      <c r="L245" s="6">
        <v>74</v>
      </c>
      <c r="M245" s="2">
        <v>1.61</v>
      </c>
      <c r="N245" s="6" t="s">
        <v>21</v>
      </c>
      <c r="O245" s="2" t="s">
        <v>22</v>
      </c>
      <c r="P245" s="8">
        <v>82000</v>
      </c>
    </row>
    <row r="246" spans="1:16" x14ac:dyDescent="0.3">
      <c r="A246" s="16"/>
      <c r="B246" s="1">
        <v>245</v>
      </c>
      <c r="C246" s="1" t="s">
        <v>179</v>
      </c>
      <c r="D246" s="1">
        <v>55152240</v>
      </c>
      <c r="E246" s="1" t="s">
        <v>236</v>
      </c>
      <c r="F246" s="1" t="s">
        <v>237</v>
      </c>
      <c r="G246" s="1" t="s">
        <v>17</v>
      </c>
      <c r="H246" s="1" t="s">
        <v>25</v>
      </c>
      <c r="I246" s="1" t="s">
        <v>26</v>
      </c>
      <c r="J246" s="1" t="s">
        <v>1015</v>
      </c>
      <c r="K246" s="2" t="s">
        <v>1015</v>
      </c>
      <c r="L246" s="6">
        <v>28</v>
      </c>
      <c r="M246" s="2">
        <v>0.28000000000000003</v>
      </c>
      <c r="N246" s="6" t="s">
        <v>21</v>
      </c>
      <c r="O246" s="2" t="s">
        <v>55</v>
      </c>
      <c r="P246" s="8">
        <v>10000</v>
      </c>
    </row>
    <row r="247" spans="1:16" x14ac:dyDescent="0.3">
      <c r="A247" s="16"/>
      <c r="B247" s="1">
        <v>246</v>
      </c>
      <c r="C247" s="1" t="s">
        <v>179</v>
      </c>
      <c r="D247" s="1">
        <v>811302725</v>
      </c>
      <c r="E247" s="1" t="s">
        <v>1084</v>
      </c>
      <c r="F247" s="1" t="s">
        <v>1234</v>
      </c>
      <c r="G247" s="1" t="s">
        <v>17</v>
      </c>
      <c r="H247" s="1" t="s">
        <v>25</v>
      </c>
      <c r="I247" s="1" t="s">
        <v>216</v>
      </c>
      <c r="J247" s="1" t="s">
        <v>20</v>
      </c>
      <c r="K247" s="2" t="s">
        <v>20</v>
      </c>
      <c r="L247" s="6">
        <v>85</v>
      </c>
      <c r="M247" s="2">
        <v>1.98</v>
      </c>
      <c r="N247" s="6" t="s">
        <v>21</v>
      </c>
      <c r="O247" s="2" t="s">
        <v>195</v>
      </c>
      <c r="P247" s="8">
        <v>104000</v>
      </c>
    </row>
    <row r="248" spans="1:16" x14ac:dyDescent="0.3">
      <c r="A248" s="16"/>
      <c r="B248" s="1">
        <v>247</v>
      </c>
      <c r="C248" s="1" t="s">
        <v>179</v>
      </c>
      <c r="D248" s="1">
        <v>55478717</v>
      </c>
      <c r="E248" s="1" t="s">
        <v>238</v>
      </c>
      <c r="F248" s="1" t="s">
        <v>239</v>
      </c>
      <c r="G248" s="1" t="s">
        <v>17</v>
      </c>
      <c r="H248" s="1" t="s">
        <v>25</v>
      </c>
      <c r="I248" s="1" t="s">
        <v>26</v>
      </c>
      <c r="J248" s="1" t="s">
        <v>1015</v>
      </c>
      <c r="K248" s="2" t="s">
        <v>1015</v>
      </c>
      <c r="L248" s="6">
        <v>78</v>
      </c>
      <c r="M248" s="2">
        <v>1.64</v>
      </c>
      <c r="N248" s="6" t="s">
        <v>21</v>
      </c>
      <c r="O248" s="2" t="s">
        <v>22</v>
      </c>
      <c r="P248" s="8">
        <v>64000</v>
      </c>
    </row>
    <row r="249" spans="1:16" x14ac:dyDescent="0.3">
      <c r="A249" s="16"/>
      <c r="B249" s="1">
        <v>248</v>
      </c>
      <c r="C249" s="1" t="s">
        <v>179</v>
      </c>
      <c r="D249" s="1">
        <v>54661047</v>
      </c>
      <c r="E249" s="1" t="s">
        <v>240</v>
      </c>
      <c r="F249" s="1" t="s">
        <v>241</v>
      </c>
      <c r="G249" s="1" t="s">
        <v>17</v>
      </c>
      <c r="H249" s="1" t="s">
        <v>25</v>
      </c>
      <c r="I249" s="1" t="s">
        <v>184</v>
      </c>
      <c r="J249" s="1" t="s">
        <v>1015</v>
      </c>
      <c r="K249" s="2" t="s">
        <v>1015</v>
      </c>
      <c r="L249" s="6">
        <v>47</v>
      </c>
      <c r="M249" s="2">
        <v>0.77</v>
      </c>
      <c r="N249" s="6" t="s">
        <v>21</v>
      </c>
      <c r="O249" s="2" t="s">
        <v>22</v>
      </c>
      <c r="P249" s="8">
        <v>44000</v>
      </c>
    </row>
    <row r="250" spans="1:16" x14ac:dyDescent="0.3">
      <c r="A250" s="16"/>
      <c r="B250" s="1">
        <v>249</v>
      </c>
      <c r="C250" s="1" t="s">
        <v>179</v>
      </c>
      <c r="D250" s="1">
        <v>54635843</v>
      </c>
      <c r="E250" s="1" t="s">
        <v>242</v>
      </c>
      <c r="F250" s="1" t="s">
        <v>243</v>
      </c>
      <c r="G250" s="1" t="s">
        <v>17</v>
      </c>
      <c r="H250" s="1" t="s">
        <v>25</v>
      </c>
      <c r="I250" s="1" t="s">
        <v>184</v>
      </c>
      <c r="J250" s="1" t="s">
        <v>1015</v>
      </c>
      <c r="K250" s="2" t="s">
        <v>1015</v>
      </c>
      <c r="L250" s="6">
        <v>72</v>
      </c>
      <c r="M250" s="2">
        <v>0.87</v>
      </c>
      <c r="N250" s="6" t="s">
        <v>21</v>
      </c>
      <c r="O250" s="2" t="s">
        <v>22</v>
      </c>
      <c r="P250" s="8">
        <v>33000</v>
      </c>
    </row>
    <row r="251" spans="1:16" x14ac:dyDescent="0.3">
      <c r="A251" s="16"/>
      <c r="B251" s="1">
        <v>250</v>
      </c>
      <c r="C251" s="1" t="s">
        <v>179</v>
      </c>
      <c r="D251" s="1">
        <v>25087747</v>
      </c>
      <c r="E251" s="1" t="s">
        <v>244</v>
      </c>
      <c r="F251" s="1" t="s">
        <v>245</v>
      </c>
      <c r="G251" s="1" t="s">
        <v>17</v>
      </c>
      <c r="H251" s="1" t="s">
        <v>18</v>
      </c>
      <c r="I251" s="1" t="s">
        <v>19</v>
      </c>
      <c r="J251" s="1" t="s">
        <v>20</v>
      </c>
      <c r="K251" s="2" t="s">
        <v>20</v>
      </c>
      <c r="L251" s="6">
        <v>72</v>
      </c>
      <c r="M251" s="2">
        <v>1.51</v>
      </c>
      <c r="N251" s="6" t="s">
        <v>21</v>
      </c>
      <c r="O251" s="2" t="s">
        <v>22</v>
      </c>
      <c r="P251" s="8">
        <v>78000</v>
      </c>
    </row>
    <row r="252" spans="1:16" x14ac:dyDescent="0.3">
      <c r="A252" s="16"/>
      <c r="B252" s="1">
        <v>251</v>
      </c>
      <c r="C252" s="1" t="s">
        <v>179</v>
      </c>
      <c r="D252" s="1">
        <v>55947793</v>
      </c>
      <c r="E252" s="1" t="s">
        <v>246</v>
      </c>
      <c r="F252" s="1" t="s">
        <v>247</v>
      </c>
      <c r="G252" s="1" t="s">
        <v>17</v>
      </c>
      <c r="H252" s="1" t="s">
        <v>18</v>
      </c>
      <c r="I252" s="1" t="s">
        <v>19</v>
      </c>
      <c r="J252" s="1" t="s">
        <v>1015</v>
      </c>
      <c r="K252" s="2" t="s">
        <v>1015</v>
      </c>
      <c r="L252" s="6">
        <v>37</v>
      </c>
      <c r="M252" s="2">
        <v>1.06</v>
      </c>
      <c r="N252" s="6" t="s">
        <v>21</v>
      </c>
      <c r="O252" s="2" t="s">
        <v>22</v>
      </c>
      <c r="P252" s="8">
        <v>30000</v>
      </c>
    </row>
    <row r="253" spans="1:16" x14ac:dyDescent="0.3">
      <c r="A253" s="16"/>
      <c r="B253" s="1">
        <v>252</v>
      </c>
      <c r="C253" s="1" t="s">
        <v>179</v>
      </c>
      <c r="D253" s="1">
        <v>55522082</v>
      </c>
      <c r="E253" s="1" t="s">
        <v>248</v>
      </c>
      <c r="F253" s="1" t="s">
        <v>247</v>
      </c>
      <c r="G253" s="1" t="s">
        <v>17</v>
      </c>
      <c r="H253" s="1" t="s">
        <v>18</v>
      </c>
      <c r="I253" s="1" t="s">
        <v>19</v>
      </c>
      <c r="J253" s="1" t="s">
        <v>20</v>
      </c>
      <c r="K253" s="2" t="s">
        <v>20</v>
      </c>
      <c r="L253" s="6">
        <v>60</v>
      </c>
      <c r="M253" s="2">
        <v>4.1500000000000004</v>
      </c>
      <c r="N253" s="6" t="s">
        <v>36</v>
      </c>
      <c r="O253" s="2" t="s">
        <v>55</v>
      </c>
      <c r="P253" s="8">
        <v>80000</v>
      </c>
    </row>
    <row r="254" spans="1:16" x14ac:dyDescent="0.3">
      <c r="A254" s="16"/>
      <c r="B254" s="1">
        <v>253</v>
      </c>
      <c r="C254" s="1" t="s">
        <v>179</v>
      </c>
      <c r="D254" s="1">
        <v>55147703</v>
      </c>
      <c r="E254" s="1" t="s">
        <v>249</v>
      </c>
      <c r="F254" s="1" t="s">
        <v>250</v>
      </c>
      <c r="G254" s="1" t="s">
        <v>17</v>
      </c>
      <c r="H254" s="1" t="s">
        <v>18</v>
      </c>
      <c r="I254" s="1" t="s">
        <v>19</v>
      </c>
      <c r="J254" s="1" t="s">
        <v>1015</v>
      </c>
      <c r="K254" s="2" t="s">
        <v>1015</v>
      </c>
      <c r="L254" s="6">
        <v>27</v>
      </c>
      <c r="M254" s="2">
        <v>1.17</v>
      </c>
      <c r="N254" s="6" t="s">
        <v>21</v>
      </c>
      <c r="O254" s="2" t="s">
        <v>22</v>
      </c>
      <c r="P254" s="8">
        <v>36000</v>
      </c>
    </row>
    <row r="255" spans="1:16" x14ac:dyDescent="0.3">
      <c r="A255" s="16"/>
      <c r="B255" s="1">
        <v>254</v>
      </c>
      <c r="C255" s="1" t="s">
        <v>179</v>
      </c>
      <c r="D255" s="1">
        <v>55126910</v>
      </c>
      <c r="E255" s="1" t="s">
        <v>251</v>
      </c>
      <c r="F255" s="1" t="s">
        <v>252</v>
      </c>
      <c r="G255" s="1" t="s">
        <v>17</v>
      </c>
      <c r="H255" s="1" t="s">
        <v>18</v>
      </c>
      <c r="I255" s="1" t="s">
        <v>30</v>
      </c>
      <c r="J255" s="1" t="s">
        <v>20</v>
      </c>
      <c r="K255" s="2" t="s">
        <v>20</v>
      </c>
      <c r="L255" s="6">
        <v>40</v>
      </c>
      <c r="M255" s="2">
        <v>0</v>
      </c>
      <c r="N255" s="6" t="s">
        <v>31</v>
      </c>
      <c r="O255" s="2" t="s">
        <v>32</v>
      </c>
      <c r="P255" s="8">
        <v>0</v>
      </c>
    </row>
    <row r="256" spans="1:16" x14ac:dyDescent="0.3">
      <c r="A256" s="16"/>
      <c r="B256" s="1">
        <v>255</v>
      </c>
      <c r="C256" s="1" t="s">
        <v>179</v>
      </c>
      <c r="D256" s="1">
        <v>28287140</v>
      </c>
      <c r="E256" s="1" t="s">
        <v>253</v>
      </c>
      <c r="F256" s="1" t="s">
        <v>254</v>
      </c>
      <c r="G256" s="1" t="s">
        <v>17</v>
      </c>
      <c r="H256" s="1" t="s">
        <v>18</v>
      </c>
      <c r="I256" s="1" t="s">
        <v>19</v>
      </c>
      <c r="J256" s="1" t="s">
        <v>20</v>
      </c>
      <c r="K256" s="2" t="s">
        <v>20</v>
      </c>
      <c r="L256" s="6">
        <v>36</v>
      </c>
      <c r="M256" s="2">
        <v>2.3199999999999998</v>
      </c>
      <c r="N256" s="6" t="s">
        <v>58</v>
      </c>
      <c r="O256" s="2" t="s">
        <v>22</v>
      </c>
      <c r="P256" s="8">
        <v>113000</v>
      </c>
    </row>
    <row r="257" spans="1:16" x14ac:dyDescent="0.3">
      <c r="A257" s="16"/>
      <c r="B257" s="1">
        <v>256</v>
      </c>
      <c r="C257" s="1" t="s">
        <v>179</v>
      </c>
      <c r="D257" s="1">
        <v>54672968</v>
      </c>
      <c r="E257" s="1" t="s">
        <v>255</v>
      </c>
      <c r="F257" s="1" t="s">
        <v>256</v>
      </c>
      <c r="G257" s="1" t="s">
        <v>17</v>
      </c>
      <c r="H257" s="1" t="s">
        <v>18</v>
      </c>
      <c r="I257" s="1" t="s">
        <v>19</v>
      </c>
      <c r="J257" s="1" t="s">
        <v>20</v>
      </c>
      <c r="K257" s="2" t="s">
        <v>20</v>
      </c>
      <c r="L257" s="6">
        <v>51</v>
      </c>
      <c r="M257" s="2">
        <v>2.5099999999999998</v>
      </c>
      <c r="N257" s="6" t="s">
        <v>21</v>
      </c>
      <c r="O257" s="2" t="s">
        <v>41</v>
      </c>
      <c r="P257" s="8">
        <v>94000</v>
      </c>
    </row>
    <row r="258" spans="1:16" x14ac:dyDescent="0.3">
      <c r="A258" s="16"/>
      <c r="B258" s="1">
        <v>257</v>
      </c>
      <c r="C258" s="1" t="s">
        <v>179</v>
      </c>
      <c r="D258" s="1">
        <v>47917741</v>
      </c>
      <c r="E258" s="1" t="s">
        <v>257</v>
      </c>
      <c r="F258" s="1" t="s">
        <v>258</v>
      </c>
      <c r="G258" s="1" t="s">
        <v>17</v>
      </c>
      <c r="H258" s="1" t="s">
        <v>18</v>
      </c>
      <c r="I258" s="1" t="s">
        <v>30</v>
      </c>
      <c r="J258" s="1" t="s">
        <v>20</v>
      </c>
      <c r="K258" s="2" t="s">
        <v>20</v>
      </c>
      <c r="L258" s="6">
        <v>41</v>
      </c>
      <c r="M258" s="2">
        <v>0</v>
      </c>
      <c r="N258" s="6" t="s">
        <v>31</v>
      </c>
      <c r="O258" s="2" t="s">
        <v>32</v>
      </c>
      <c r="P258" s="8">
        <v>0</v>
      </c>
    </row>
    <row r="259" spans="1:16" x14ac:dyDescent="0.3">
      <c r="A259" s="16"/>
      <c r="B259" s="1">
        <v>258</v>
      </c>
      <c r="C259" s="1" t="s">
        <v>179</v>
      </c>
      <c r="D259" s="1">
        <v>55132229</v>
      </c>
      <c r="E259" s="1" t="s">
        <v>259</v>
      </c>
      <c r="F259" s="1" t="s">
        <v>260</v>
      </c>
      <c r="G259" s="1" t="s">
        <v>17</v>
      </c>
      <c r="H259" s="1" t="s">
        <v>18</v>
      </c>
      <c r="I259" s="1" t="s">
        <v>19</v>
      </c>
      <c r="J259" s="1" t="s">
        <v>20</v>
      </c>
      <c r="K259" s="2" t="s">
        <v>20</v>
      </c>
      <c r="L259" s="6">
        <v>82</v>
      </c>
      <c r="M259" s="2">
        <v>3.55</v>
      </c>
      <c r="N259" s="6" t="s">
        <v>21</v>
      </c>
      <c r="O259" s="2" t="s">
        <v>41</v>
      </c>
      <c r="P259" s="8">
        <v>107000</v>
      </c>
    </row>
    <row r="260" spans="1:16" x14ac:dyDescent="0.3">
      <c r="A260" s="16"/>
      <c r="B260" s="1">
        <v>259</v>
      </c>
      <c r="C260" s="1" t="s">
        <v>179</v>
      </c>
      <c r="D260" s="1">
        <v>55456294</v>
      </c>
      <c r="E260" s="1" t="s">
        <v>261</v>
      </c>
      <c r="F260" s="1" t="s">
        <v>262</v>
      </c>
      <c r="G260" s="1" t="s">
        <v>17</v>
      </c>
      <c r="H260" s="1" t="s">
        <v>18</v>
      </c>
      <c r="I260" s="1" t="s">
        <v>30</v>
      </c>
      <c r="J260" s="1" t="s">
        <v>20</v>
      </c>
      <c r="K260" s="2" t="s">
        <v>20</v>
      </c>
      <c r="L260" s="6">
        <v>55</v>
      </c>
      <c r="M260" s="2">
        <v>0</v>
      </c>
      <c r="N260" s="6" t="s">
        <v>31</v>
      </c>
      <c r="O260" s="2" t="s">
        <v>32</v>
      </c>
      <c r="P260" s="8">
        <v>0</v>
      </c>
    </row>
    <row r="261" spans="1:16" x14ac:dyDescent="0.3">
      <c r="A261" s="16"/>
      <c r="B261" s="1">
        <v>260</v>
      </c>
      <c r="C261" s="1" t="s">
        <v>179</v>
      </c>
      <c r="D261" s="1">
        <v>55532977</v>
      </c>
      <c r="E261" s="1" t="s">
        <v>263</v>
      </c>
      <c r="F261" s="1" t="s">
        <v>264</v>
      </c>
      <c r="G261" s="1" t="s">
        <v>17</v>
      </c>
      <c r="H261" s="1" t="s">
        <v>18</v>
      </c>
      <c r="I261" s="1" t="s">
        <v>30</v>
      </c>
      <c r="J261" s="1" t="s">
        <v>20</v>
      </c>
      <c r="K261" s="2" t="s">
        <v>20</v>
      </c>
      <c r="L261" s="6">
        <v>34</v>
      </c>
      <c r="M261" s="2">
        <v>0</v>
      </c>
      <c r="N261" s="6" t="s">
        <v>31</v>
      </c>
      <c r="O261" s="2" t="s">
        <v>32</v>
      </c>
      <c r="P261" s="8">
        <v>0</v>
      </c>
    </row>
    <row r="262" spans="1:16" x14ac:dyDescent="0.3">
      <c r="A262" s="16"/>
      <c r="B262" s="1">
        <v>261</v>
      </c>
      <c r="C262" s="1" t="s">
        <v>179</v>
      </c>
      <c r="D262" s="1">
        <v>811348257</v>
      </c>
      <c r="E262" s="1" t="s">
        <v>265</v>
      </c>
      <c r="F262" s="1" t="s">
        <v>266</v>
      </c>
      <c r="G262" s="1" t="s">
        <v>17</v>
      </c>
      <c r="H262" s="1" t="s">
        <v>18</v>
      </c>
      <c r="I262" s="1" t="s">
        <v>30</v>
      </c>
      <c r="J262" s="1" t="s">
        <v>20</v>
      </c>
      <c r="K262" s="2" t="s">
        <v>20</v>
      </c>
      <c r="L262" s="6">
        <v>50</v>
      </c>
      <c r="M262" s="2">
        <v>0</v>
      </c>
      <c r="N262" s="6" t="s">
        <v>31</v>
      </c>
      <c r="O262" s="2" t="s">
        <v>32</v>
      </c>
      <c r="P262" s="8">
        <v>0</v>
      </c>
    </row>
    <row r="263" spans="1:16" x14ac:dyDescent="0.3">
      <c r="A263" s="16"/>
      <c r="B263" s="1">
        <v>262</v>
      </c>
      <c r="C263" s="1" t="s">
        <v>179</v>
      </c>
      <c r="D263" s="1">
        <v>55124511</v>
      </c>
      <c r="E263" s="1" t="s">
        <v>267</v>
      </c>
      <c r="F263" s="1" t="s">
        <v>268</v>
      </c>
      <c r="G263" s="1" t="s">
        <v>17</v>
      </c>
      <c r="H263" s="1" t="s">
        <v>18</v>
      </c>
      <c r="I263" s="1" t="s">
        <v>35</v>
      </c>
      <c r="J263" s="1" t="s">
        <v>1015</v>
      </c>
      <c r="K263" s="2" t="s">
        <v>1015</v>
      </c>
      <c r="L263" s="6">
        <v>82</v>
      </c>
      <c r="M263" s="2">
        <v>1.5</v>
      </c>
      <c r="N263" s="6" t="s">
        <v>21</v>
      </c>
      <c r="O263" s="2" t="s">
        <v>41</v>
      </c>
      <c r="P263" s="8">
        <v>56000</v>
      </c>
    </row>
    <row r="264" spans="1:16" x14ac:dyDescent="0.3">
      <c r="A264" s="16"/>
      <c r="B264" s="1">
        <v>263</v>
      </c>
      <c r="C264" s="1" t="s">
        <v>179</v>
      </c>
      <c r="D264" s="1">
        <v>54637028</v>
      </c>
      <c r="E264" s="1" t="s">
        <v>269</v>
      </c>
      <c r="F264" s="1" t="s">
        <v>270</v>
      </c>
      <c r="G264" s="1" t="s">
        <v>17</v>
      </c>
      <c r="H264" s="1" t="s">
        <v>25</v>
      </c>
      <c r="I264" s="1" t="s">
        <v>184</v>
      </c>
      <c r="J264" s="1" t="s">
        <v>1015</v>
      </c>
      <c r="K264" s="2" t="s">
        <v>1015</v>
      </c>
      <c r="L264" s="6">
        <v>67</v>
      </c>
      <c r="M264" s="2">
        <v>0.97</v>
      </c>
      <c r="N264" s="6" t="s">
        <v>58</v>
      </c>
      <c r="O264" s="2" t="s">
        <v>22</v>
      </c>
      <c r="P264" s="8">
        <v>38000</v>
      </c>
    </row>
    <row r="265" spans="1:16" x14ac:dyDescent="0.3">
      <c r="A265" s="16"/>
      <c r="B265" s="1">
        <v>264</v>
      </c>
      <c r="C265" s="1" t="s">
        <v>179</v>
      </c>
      <c r="D265" s="1">
        <v>55575313</v>
      </c>
      <c r="E265" s="1" t="s">
        <v>271</v>
      </c>
      <c r="F265" s="1" t="s">
        <v>272</v>
      </c>
      <c r="G265" s="1" t="s">
        <v>17</v>
      </c>
      <c r="H265" s="1" t="s">
        <v>18</v>
      </c>
      <c r="I265" s="1" t="s">
        <v>30</v>
      </c>
      <c r="J265" s="1" t="s">
        <v>20</v>
      </c>
      <c r="K265" s="2" t="s">
        <v>20</v>
      </c>
      <c r="L265" s="6">
        <v>61</v>
      </c>
      <c r="M265" s="2">
        <v>0</v>
      </c>
      <c r="N265" s="6" t="s">
        <v>31</v>
      </c>
      <c r="O265" s="2" t="s">
        <v>32</v>
      </c>
      <c r="P265" s="8">
        <v>0</v>
      </c>
    </row>
    <row r="266" spans="1:16" x14ac:dyDescent="0.3">
      <c r="A266" s="16"/>
      <c r="B266" s="1">
        <v>265</v>
      </c>
      <c r="C266" s="1" t="s">
        <v>179</v>
      </c>
      <c r="D266" s="1">
        <v>811302743</v>
      </c>
      <c r="E266" s="1" t="s">
        <v>273</v>
      </c>
      <c r="F266" s="1" t="s">
        <v>1250</v>
      </c>
      <c r="G266" s="1" t="s">
        <v>17</v>
      </c>
      <c r="H266" s="1" t="s">
        <v>18</v>
      </c>
      <c r="I266" s="1" t="s">
        <v>30</v>
      </c>
      <c r="J266" s="1" t="s">
        <v>20</v>
      </c>
      <c r="K266" s="2" t="s">
        <v>20</v>
      </c>
      <c r="L266" s="6">
        <v>68</v>
      </c>
      <c r="M266" s="2">
        <v>0</v>
      </c>
      <c r="N266" s="6" t="s">
        <v>31</v>
      </c>
      <c r="O266" s="2" t="s">
        <v>32</v>
      </c>
      <c r="P266" s="8">
        <v>0</v>
      </c>
    </row>
    <row r="267" spans="1:16" x14ac:dyDescent="0.3">
      <c r="A267" s="16"/>
      <c r="B267" s="1">
        <v>266</v>
      </c>
      <c r="C267" s="1" t="s">
        <v>179</v>
      </c>
      <c r="D267" s="1">
        <v>55570702</v>
      </c>
      <c r="E267" s="1" t="s">
        <v>273</v>
      </c>
      <c r="F267" s="1" t="s">
        <v>274</v>
      </c>
      <c r="G267" s="1" t="s">
        <v>17</v>
      </c>
      <c r="H267" s="1" t="s">
        <v>18</v>
      </c>
      <c r="I267" s="1" t="s">
        <v>19</v>
      </c>
      <c r="J267" s="1" t="s">
        <v>1015</v>
      </c>
      <c r="K267" s="2" t="s">
        <v>1015</v>
      </c>
      <c r="L267" s="6">
        <v>40</v>
      </c>
      <c r="M267" s="2">
        <v>3.93</v>
      </c>
      <c r="N267" s="6" t="s">
        <v>36</v>
      </c>
      <c r="O267" s="2" t="s">
        <v>41</v>
      </c>
      <c r="P267" s="8">
        <v>86000</v>
      </c>
    </row>
    <row r="268" spans="1:16" x14ac:dyDescent="0.3">
      <c r="A268" s="16"/>
      <c r="B268" s="1">
        <v>267</v>
      </c>
      <c r="C268" s="1" t="s">
        <v>179</v>
      </c>
      <c r="D268" s="1">
        <v>55461452</v>
      </c>
      <c r="E268" s="1" t="s">
        <v>275</v>
      </c>
      <c r="F268" s="1" t="s">
        <v>276</v>
      </c>
      <c r="G268" s="1" t="s">
        <v>17</v>
      </c>
      <c r="H268" s="1" t="s">
        <v>25</v>
      </c>
      <c r="I268" s="1" t="s">
        <v>26</v>
      </c>
      <c r="J268" s="1" t="s">
        <v>20</v>
      </c>
      <c r="K268" s="2" t="s">
        <v>20</v>
      </c>
      <c r="L268" s="6">
        <v>35</v>
      </c>
      <c r="M268" s="2">
        <v>0.28999999999999998</v>
      </c>
      <c r="N268" s="6" t="s">
        <v>58</v>
      </c>
      <c r="O268" s="2" t="s">
        <v>27</v>
      </c>
      <c r="P268" s="8">
        <v>10000</v>
      </c>
    </row>
    <row r="269" spans="1:16" x14ac:dyDescent="0.3">
      <c r="A269" s="16"/>
      <c r="B269" s="1">
        <v>268</v>
      </c>
      <c r="C269" s="1" t="s">
        <v>179</v>
      </c>
      <c r="D269" s="1">
        <v>55440494</v>
      </c>
      <c r="E269" s="1" t="s">
        <v>1085</v>
      </c>
      <c r="F269" s="1" t="s">
        <v>1251</v>
      </c>
      <c r="G269" s="1" t="s">
        <v>17</v>
      </c>
      <c r="H269" s="1" t="s">
        <v>18</v>
      </c>
      <c r="I269" s="1" t="s">
        <v>19</v>
      </c>
      <c r="J269" s="1" t="s">
        <v>20</v>
      </c>
      <c r="K269" s="2" t="s">
        <v>20</v>
      </c>
      <c r="L269" s="6">
        <v>68</v>
      </c>
      <c r="M269" s="2">
        <v>2.84</v>
      </c>
      <c r="N269" s="6" t="s">
        <v>21</v>
      </c>
      <c r="O269" s="2" t="s">
        <v>27</v>
      </c>
      <c r="P269" s="8">
        <v>76000</v>
      </c>
    </row>
    <row r="270" spans="1:16" x14ac:dyDescent="0.3">
      <c r="A270" s="16"/>
      <c r="B270" s="1">
        <v>269</v>
      </c>
      <c r="C270" s="1" t="s">
        <v>179</v>
      </c>
      <c r="D270" s="1">
        <v>1950670962</v>
      </c>
      <c r="E270" s="1" t="s">
        <v>1020</v>
      </c>
      <c r="F270" s="1" t="s">
        <v>1201</v>
      </c>
      <c r="G270" s="1" t="s">
        <v>17</v>
      </c>
      <c r="H270" s="1" t="s">
        <v>18</v>
      </c>
      <c r="I270" s="1" t="s">
        <v>30</v>
      </c>
      <c r="J270" s="1" t="s">
        <v>20</v>
      </c>
      <c r="K270" s="2" t="s">
        <v>20</v>
      </c>
      <c r="L270" s="6">
        <v>35</v>
      </c>
      <c r="M270" s="2">
        <v>0</v>
      </c>
      <c r="N270" s="6" t="s">
        <v>31</v>
      </c>
      <c r="O270" s="2" t="s">
        <v>32</v>
      </c>
      <c r="P270" s="8">
        <v>0</v>
      </c>
    </row>
    <row r="271" spans="1:16" x14ac:dyDescent="0.3">
      <c r="A271" s="16"/>
      <c r="B271" s="1">
        <v>270</v>
      </c>
      <c r="C271" s="1" t="s">
        <v>179</v>
      </c>
      <c r="D271" s="1">
        <v>55504578</v>
      </c>
      <c r="E271" s="1" t="s">
        <v>277</v>
      </c>
      <c r="F271" s="1" t="s">
        <v>278</v>
      </c>
      <c r="G271" s="1" t="s">
        <v>17</v>
      </c>
      <c r="H271" s="1" t="s">
        <v>18</v>
      </c>
      <c r="I271" s="1" t="s">
        <v>30</v>
      </c>
      <c r="J271" s="1" t="s">
        <v>20</v>
      </c>
      <c r="K271" s="2" t="s">
        <v>20</v>
      </c>
      <c r="L271" s="6">
        <v>49</v>
      </c>
      <c r="M271" s="2">
        <v>0</v>
      </c>
      <c r="N271" s="6" t="s">
        <v>31</v>
      </c>
      <c r="O271" s="2" t="s">
        <v>32</v>
      </c>
      <c r="P271" s="8">
        <v>0</v>
      </c>
    </row>
    <row r="272" spans="1:16" x14ac:dyDescent="0.3">
      <c r="A272" s="16"/>
      <c r="B272" s="1">
        <v>271</v>
      </c>
      <c r="C272" s="1" t="s">
        <v>179</v>
      </c>
      <c r="D272" s="1">
        <v>47901183</v>
      </c>
      <c r="E272" s="1" t="s">
        <v>1086</v>
      </c>
      <c r="F272" s="1" t="s">
        <v>1252</v>
      </c>
      <c r="G272" s="1" t="s">
        <v>17</v>
      </c>
      <c r="H272" s="1" t="s">
        <v>18</v>
      </c>
      <c r="I272" s="1" t="s">
        <v>19</v>
      </c>
      <c r="J272" s="1" t="s">
        <v>20</v>
      </c>
      <c r="K272" s="2" t="s">
        <v>20</v>
      </c>
      <c r="L272" s="6">
        <v>72</v>
      </c>
      <c r="M272" s="2">
        <v>3.94</v>
      </c>
      <c r="N272" s="6" t="s">
        <v>21</v>
      </c>
      <c r="O272" s="2" t="s">
        <v>22</v>
      </c>
      <c r="P272" s="8">
        <v>97000</v>
      </c>
    </row>
    <row r="273" spans="1:16" x14ac:dyDescent="0.3">
      <c r="A273" s="16"/>
      <c r="B273" s="1">
        <v>272</v>
      </c>
      <c r="C273" s="1" t="s">
        <v>179</v>
      </c>
      <c r="D273" s="1">
        <v>55531490</v>
      </c>
      <c r="E273" s="1" t="s">
        <v>279</v>
      </c>
      <c r="F273" s="1" t="s">
        <v>209</v>
      </c>
      <c r="G273" s="1" t="s">
        <v>17</v>
      </c>
      <c r="H273" s="1" t="s">
        <v>18</v>
      </c>
      <c r="I273" s="1" t="s">
        <v>30</v>
      </c>
      <c r="J273" s="1" t="s">
        <v>1015</v>
      </c>
      <c r="K273" s="2" t="s">
        <v>1015</v>
      </c>
      <c r="L273" s="6">
        <v>59</v>
      </c>
      <c r="M273" s="2">
        <v>0</v>
      </c>
      <c r="N273" s="6" t="s">
        <v>31</v>
      </c>
      <c r="O273" s="2" t="s">
        <v>32</v>
      </c>
      <c r="P273" s="8">
        <v>0</v>
      </c>
    </row>
    <row r="274" spans="1:16" x14ac:dyDescent="0.3">
      <c r="A274" s="16"/>
      <c r="B274" s="1">
        <v>273</v>
      </c>
      <c r="C274" s="1" t="s">
        <v>179</v>
      </c>
      <c r="D274" s="1">
        <v>25085390</v>
      </c>
      <c r="E274" s="1" t="s">
        <v>280</v>
      </c>
      <c r="F274" s="1" t="s">
        <v>281</v>
      </c>
      <c r="G274" s="1" t="s">
        <v>17</v>
      </c>
      <c r="H274" s="1" t="s">
        <v>18</v>
      </c>
      <c r="I274" s="1" t="s">
        <v>19</v>
      </c>
      <c r="J274" s="1" t="s">
        <v>20</v>
      </c>
      <c r="K274" s="2" t="s">
        <v>20</v>
      </c>
      <c r="L274" s="6">
        <v>31</v>
      </c>
      <c r="M274" s="2">
        <v>0.33</v>
      </c>
      <c r="N274" s="6" t="s">
        <v>21</v>
      </c>
      <c r="O274" s="2" t="s">
        <v>27</v>
      </c>
      <c r="P274" s="8">
        <v>7000</v>
      </c>
    </row>
    <row r="275" spans="1:16" x14ac:dyDescent="0.3">
      <c r="A275" s="16"/>
      <c r="B275" s="1">
        <v>274</v>
      </c>
      <c r="C275" s="1" t="s">
        <v>179</v>
      </c>
      <c r="D275" s="1">
        <v>47907212</v>
      </c>
      <c r="E275" s="1" t="s">
        <v>282</v>
      </c>
      <c r="F275" s="1" t="s">
        <v>283</v>
      </c>
      <c r="G275" s="1" t="s">
        <v>17</v>
      </c>
      <c r="H275" s="1" t="s">
        <v>18</v>
      </c>
      <c r="I275" s="1" t="s">
        <v>30</v>
      </c>
      <c r="J275" s="1" t="s">
        <v>20</v>
      </c>
      <c r="K275" s="2" t="s">
        <v>20</v>
      </c>
      <c r="L275" s="6">
        <v>34</v>
      </c>
      <c r="M275" s="2">
        <v>0</v>
      </c>
      <c r="N275" s="6" t="s">
        <v>31</v>
      </c>
      <c r="O275" s="2" t="s">
        <v>32</v>
      </c>
      <c r="P275" s="8">
        <v>0</v>
      </c>
    </row>
    <row r="276" spans="1:16" x14ac:dyDescent="0.3">
      <c r="A276" s="16"/>
      <c r="B276" s="1">
        <v>275</v>
      </c>
      <c r="C276" s="1" t="s">
        <v>179</v>
      </c>
      <c r="D276" s="1">
        <v>22245480</v>
      </c>
      <c r="E276" s="1" t="s">
        <v>284</v>
      </c>
      <c r="F276" s="1" t="s">
        <v>285</v>
      </c>
      <c r="G276" s="1" t="s">
        <v>17</v>
      </c>
      <c r="H276" s="1" t="s">
        <v>18</v>
      </c>
      <c r="I276" s="1" t="s">
        <v>19</v>
      </c>
      <c r="J276" s="1" t="s">
        <v>20</v>
      </c>
      <c r="K276" s="2" t="s">
        <v>20</v>
      </c>
      <c r="L276" s="6">
        <v>54</v>
      </c>
      <c r="M276" s="2">
        <v>0.87</v>
      </c>
      <c r="N276" s="6" t="s">
        <v>21</v>
      </c>
      <c r="O276" s="2" t="s">
        <v>195</v>
      </c>
      <c r="P276" s="8">
        <v>28000</v>
      </c>
    </row>
    <row r="277" spans="1:16" x14ac:dyDescent="0.3">
      <c r="A277" s="16"/>
      <c r="B277" s="1">
        <v>276</v>
      </c>
      <c r="C277" s="1" t="s">
        <v>179</v>
      </c>
      <c r="D277" s="1">
        <v>55959992</v>
      </c>
      <c r="E277" s="1" t="s">
        <v>286</v>
      </c>
      <c r="F277" s="1" t="s">
        <v>287</v>
      </c>
      <c r="G277" s="1" t="s">
        <v>17</v>
      </c>
      <c r="H277" s="1" t="s">
        <v>18</v>
      </c>
      <c r="I277" s="1" t="s">
        <v>19</v>
      </c>
      <c r="J277" s="1" t="s">
        <v>1015</v>
      </c>
      <c r="K277" s="2" t="s">
        <v>1015</v>
      </c>
      <c r="L277" s="6">
        <v>55</v>
      </c>
      <c r="M277" s="2">
        <v>1</v>
      </c>
      <c r="N277" s="6" t="s">
        <v>58</v>
      </c>
      <c r="O277" s="2" t="s">
        <v>22</v>
      </c>
      <c r="P277" s="8">
        <v>56000</v>
      </c>
    </row>
    <row r="278" spans="1:16" x14ac:dyDescent="0.3">
      <c r="A278" s="16"/>
      <c r="B278" s="1">
        <v>277</v>
      </c>
      <c r="C278" s="1" t="s">
        <v>179</v>
      </c>
      <c r="D278" s="1">
        <v>25071032</v>
      </c>
      <c r="E278" s="1" t="s">
        <v>288</v>
      </c>
      <c r="F278" s="1" t="s">
        <v>289</v>
      </c>
      <c r="G278" s="1" t="s">
        <v>17</v>
      </c>
      <c r="H278" s="1" t="s">
        <v>18</v>
      </c>
      <c r="I278" s="1" t="s">
        <v>19</v>
      </c>
      <c r="J278" s="1" t="s">
        <v>20</v>
      </c>
      <c r="K278" s="2" t="s">
        <v>20</v>
      </c>
      <c r="L278" s="6">
        <v>65</v>
      </c>
      <c r="M278" s="2">
        <v>4.53</v>
      </c>
      <c r="N278" s="6" t="s">
        <v>21</v>
      </c>
      <c r="O278" s="2" t="s">
        <v>22</v>
      </c>
      <c r="P278" s="8">
        <v>267000</v>
      </c>
    </row>
    <row r="279" spans="1:16" x14ac:dyDescent="0.3">
      <c r="A279" s="16"/>
      <c r="B279" s="1">
        <v>278</v>
      </c>
      <c r="C279" s="1" t="s">
        <v>179</v>
      </c>
      <c r="D279" s="1">
        <v>55960855</v>
      </c>
      <c r="E279" s="1" t="s">
        <v>290</v>
      </c>
      <c r="F279" s="1" t="s">
        <v>287</v>
      </c>
      <c r="G279" s="1" t="s">
        <v>17</v>
      </c>
      <c r="H279" s="1" t="s">
        <v>18</v>
      </c>
      <c r="I279" s="1" t="s">
        <v>30</v>
      </c>
      <c r="J279" s="1" t="s">
        <v>1015</v>
      </c>
      <c r="K279" s="2" t="s">
        <v>1015</v>
      </c>
      <c r="L279" s="6">
        <v>42</v>
      </c>
      <c r="M279" s="2">
        <v>0</v>
      </c>
      <c r="N279" s="6" t="s">
        <v>31</v>
      </c>
      <c r="O279" s="2" t="s">
        <v>32</v>
      </c>
      <c r="P279" s="8">
        <v>0</v>
      </c>
    </row>
    <row r="280" spans="1:16" x14ac:dyDescent="0.3">
      <c r="A280" s="16"/>
      <c r="B280" s="1">
        <v>279</v>
      </c>
      <c r="C280" s="1" t="s">
        <v>179</v>
      </c>
      <c r="D280" s="1">
        <v>47900116</v>
      </c>
      <c r="E280" s="1" t="s">
        <v>1087</v>
      </c>
      <c r="F280" s="1" t="s">
        <v>291</v>
      </c>
      <c r="G280" s="1" t="s">
        <v>88</v>
      </c>
      <c r="H280" s="1" t="s">
        <v>18</v>
      </c>
      <c r="I280" s="1" t="s">
        <v>120</v>
      </c>
      <c r="J280" s="1" t="s">
        <v>20</v>
      </c>
      <c r="K280" s="2" t="s">
        <v>20</v>
      </c>
      <c r="L280" s="6">
        <v>52</v>
      </c>
      <c r="M280" s="2">
        <v>1.2</v>
      </c>
      <c r="N280" s="6" t="s">
        <v>21</v>
      </c>
      <c r="O280" s="2" t="s">
        <v>55</v>
      </c>
      <c r="P280" s="8">
        <v>29000</v>
      </c>
    </row>
    <row r="281" spans="1:16" x14ac:dyDescent="0.3">
      <c r="A281" s="16"/>
      <c r="B281" s="1">
        <v>280</v>
      </c>
      <c r="C281" s="1" t="s">
        <v>179</v>
      </c>
      <c r="D281" s="1">
        <v>55114867</v>
      </c>
      <c r="E281" s="1" t="s">
        <v>292</v>
      </c>
      <c r="F281" s="1" t="s">
        <v>293</v>
      </c>
      <c r="G281" s="1" t="s">
        <v>17</v>
      </c>
      <c r="H281" s="1" t="s">
        <v>25</v>
      </c>
      <c r="I281" s="1" t="s">
        <v>184</v>
      </c>
      <c r="J281" s="1" t="s">
        <v>1015</v>
      </c>
      <c r="K281" s="2" t="s">
        <v>1015</v>
      </c>
      <c r="L281" s="6">
        <v>34</v>
      </c>
      <c r="M281" s="2">
        <v>1.51</v>
      </c>
      <c r="N281" s="6" t="s">
        <v>21</v>
      </c>
      <c r="O281" s="2" t="s">
        <v>27</v>
      </c>
      <c r="P281" s="8">
        <v>80000</v>
      </c>
    </row>
    <row r="282" spans="1:16" x14ac:dyDescent="0.3">
      <c r="A282" s="16"/>
      <c r="B282" s="1">
        <v>281</v>
      </c>
      <c r="C282" s="1" t="s">
        <v>179</v>
      </c>
      <c r="D282" s="1">
        <v>55961535</v>
      </c>
      <c r="E282" s="1" t="s">
        <v>294</v>
      </c>
      <c r="F282" s="1" t="s">
        <v>295</v>
      </c>
      <c r="G282" s="1" t="s">
        <v>17</v>
      </c>
      <c r="H282" s="1" t="s">
        <v>18</v>
      </c>
      <c r="I282" s="1" t="s">
        <v>19</v>
      </c>
      <c r="J282" s="1" t="s">
        <v>20</v>
      </c>
      <c r="K282" s="2" t="s">
        <v>20</v>
      </c>
      <c r="L282" s="6">
        <v>59</v>
      </c>
      <c r="M282" s="2">
        <v>4.3499999999999996</v>
      </c>
      <c r="N282" s="6" t="s">
        <v>36</v>
      </c>
      <c r="O282" s="2" t="s">
        <v>22</v>
      </c>
      <c r="P282" s="8">
        <v>174000</v>
      </c>
    </row>
    <row r="283" spans="1:16" x14ac:dyDescent="0.3">
      <c r="A283" s="16"/>
      <c r="B283" s="1">
        <v>282</v>
      </c>
      <c r="C283" s="1" t="s">
        <v>179</v>
      </c>
      <c r="D283" s="1">
        <v>55439453</v>
      </c>
      <c r="E283" s="1" t="s">
        <v>296</v>
      </c>
      <c r="F283" s="1" t="s">
        <v>297</v>
      </c>
      <c r="G283" s="1" t="s">
        <v>17</v>
      </c>
      <c r="H283" s="1" t="s">
        <v>25</v>
      </c>
      <c r="I283" s="1" t="s">
        <v>26</v>
      </c>
      <c r="J283" s="1" t="s">
        <v>1015</v>
      </c>
      <c r="K283" s="2" t="s">
        <v>1015</v>
      </c>
      <c r="L283" s="6">
        <v>53</v>
      </c>
      <c r="M283" s="2">
        <v>3.53</v>
      </c>
      <c r="N283" s="6" t="s">
        <v>21</v>
      </c>
      <c r="O283" s="2" t="s">
        <v>74</v>
      </c>
      <c r="P283" s="8">
        <v>155000</v>
      </c>
    </row>
    <row r="284" spans="1:16" x14ac:dyDescent="0.3">
      <c r="A284" s="16"/>
      <c r="B284" s="1">
        <v>283</v>
      </c>
      <c r="C284" s="1" t="s">
        <v>179</v>
      </c>
      <c r="D284" s="1">
        <v>55503999</v>
      </c>
      <c r="E284" s="1" t="s">
        <v>298</v>
      </c>
      <c r="F284" s="1" t="s">
        <v>299</v>
      </c>
      <c r="G284" s="1" t="s">
        <v>17</v>
      </c>
      <c r="H284" s="1" t="s">
        <v>18</v>
      </c>
      <c r="I284" s="1" t="s">
        <v>30</v>
      </c>
      <c r="J284" s="1" t="s">
        <v>1015</v>
      </c>
      <c r="K284" s="2" t="s">
        <v>1015</v>
      </c>
      <c r="L284" s="6">
        <v>71</v>
      </c>
      <c r="M284" s="2">
        <v>0</v>
      </c>
      <c r="N284" s="6" t="s">
        <v>31</v>
      </c>
      <c r="O284" s="2" t="s">
        <v>32</v>
      </c>
      <c r="P284" s="8">
        <v>0</v>
      </c>
    </row>
    <row r="285" spans="1:16" x14ac:dyDescent="0.3">
      <c r="A285" s="16"/>
      <c r="B285" s="1">
        <v>284</v>
      </c>
      <c r="C285" s="1" t="s">
        <v>179</v>
      </c>
      <c r="D285" s="1">
        <v>55131731</v>
      </c>
      <c r="E285" s="1" t="s">
        <v>300</v>
      </c>
      <c r="F285" s="1" t="s">
        <v>301</v>
      </c>
      <c r="G285" s="1" t="s">
        <v>17</v>
      </c>
      <c r="H285" s="1" t="s">
        <v>25</v>
      </c>
      <c r="I285" s="1" t="s">
        <v>216</v>
      </c>
      <c r="J285" s="1" t="s">
        <v>20</v>
      </c>
      <c r="K285" s="2" t="s">
        <v>20</v>
      </c>
      <c r="L285" s="6">
        <v>66</v>
      </c>
      <c r="M285" s="2">
        <v>1.47</v>
      </c>
      <c r="N285" s="6" t="s">
        <v>21</v>
      </c>
      <c r="O285" s="2" t="s">
        <v>74</v>
      </c>
      <c r="P285" s="8">
        <v>78000</v>
      </c>
    </row>
    <row r="286" spans="1:16" x14ac:dyDescent="0.3">
      <c r="A286" s="16"/>
      <c r="B286" s="1">
        <v>285</v>
      </c>
      <c r="C286" s="1" t="s">
        <v>179</v>
      </c>
      <c r="D286" s="1">
        <v>811370250</v>
      </c>
      <c r="E286" s="1" t="s">
        <v>1088</v>
      </c>
      <c r="F286" s="1" t="s">
        <v>905</v>
      </c>
      <c r="G286" s="1" t="s">
        <v>88</v>
      </c>
      <c r="H286" s="1" t="s">
        <v>18</v>
      </c>
      <c r="I286" s="1" t="s">
        <v>120</v>
      </c>
      <c r="J286" s="1" t="s">
        <v>20</v>
      </c>
      <c r="K286" s="2" t="s">
        <v>20</v>
      </c>
      <c r="L286" s="6">
        <v>33</v>
      </c>
      <c r="M286" s="2">
        <v>2</v>
      </c>
      <c r="N286" s="6" t="s">
        <v>21</v>
      </c>
      <c r="O286" s="2" t="s">
        <v>22</v>
      </c>
      <c r="P286" s="8">
        <v>107000</v>
      </c>
    </row>
    <row r="287" spans="1:16" x14ac:dyDescent="0.3">
      <c r="A287" s="16"/>
      <c r="B287" s="1">
        <v>286</v>
      </c>
      <c r="C287" s="1" t="s">
        <v>179</v>
      </c>
      <c r="D287" s="1">
        <v>54135361</v>
      </c>
      <c r="E287" s="1" t="s">
        <v>1089</v>
      </c>
      <c r="F287" s="1" t="s">
        <v>1253</v>
      </c>
      <c r="G287" s="1" t="s">
        <v>17</v>
      </c>
      <c r="H287" s="1" t="s">
        <v>18</v>
      </c>
      <c r="I287" s="1" t="s">
        <v>19</v>
      </c>
      <c r="J287" s="1" t="s">
        <v>20</v>
      </c>
      <c r="K287" s="2" t="s">
        <v>20</v>
      </c>
      <c r="L287" s="6">
        <v>43</v>
      </c>
      <c r="M287" s="2">
        <v>1.26</v>
      </c>
      <c r="N287" s="6" t="s">
        <v>21</v>
      </c>
      <c r="O287" s="2" t="s">
        <v>27</v>
      </c>
      <c r="P287" s="8">
        <v>31000</v>
      </c>
    </row>
    <row r="288" spans="1:16" x14ac:dyDescent="0.3">
      <c r="A288" s="16"/>
      <c r="B288" s="1">
        <v>287</v>
      </c>
      <c r="C288" s="1" t="s">
        <v>179</v>
      </c>
      <c r="D288" s="1">
        <v>55137369</v>
      </c>
      <c r="E288" s="1" t="s">
        <v>1090</v>
      </c>
      <c r="F288" s="1" t="s">
        <v>1254</v>
      </c>
      <c r="G288" s="1" t="s">
        <v>17</v>
      </c>
      <c r="H288" s="1" t="s">
        <v>25</v>
      </c>
      <c r="I288" s="1" t="s">
        <v>184</v>
      </c>
      <c r="J288" s="1" t="s">
        <v>1015</v>
      </c>
      <c r="K288" s="2" t="s">
        <v>1015</v>
      </c>
      <c r="L288" s="6">
        <v>42</v>
      </c>
      <c r="M288" s="2">
        <v>1.39</v>
      </c>
      <c r="N288" s="6" t="s">
        <v>21</v>
      </c>
      <c r="O288" s="2" t="s">
        <v>41</v>
      </c>
      <c r="P288" s="8">
        <v>58000</v>
      </c>
    </row>
    <row r="289" spans="1:16" x14ac:dyDescent="0.3">
      <c r="A289" s="16"/>
      <c r="B289" s="1">
        <v>288</v>
      </c>
      <c r="C289" s="1" t="s">
        <v>179</v>
      </c>
      <c r="D289" s="1">
        <v>55561357</v>
      </c>
      <c r="E289" s="1" t="s">
        <v>302</v>
      </c>
      <c r="F289" s="1" t="s">
        <v>303</v>
      </c>
      <c r="G289" s="1" t="s">
        <v>17</v>
      </c>
      <c r="H289" s="1" t="s">
        <v>25</v>
      </c>
      <c r="I289" s="1" t="s">
        <v>184</v>
      </c>
      <c r="J289" s="1" t="s">
        <v>1015</v>
      </c>
      <c r="K289" s="2" t="s">
        <v>1015</v>
      </c>
      <c r="L289" s="6">
        <v>69</v>
      </c>
      <c r="M289" s="2">
        <v>1.26</v>
      </c>
      <c r="N289" s="6" t="s">
        <v>21</v>
      </c>
      <c r="O289" s="2" t="s">
        <v>55</v>
      </c>
      <c r="P289" s="8">
        <v>31000</v>
      </c>
    </row>
    <row r="290" spans="1:16" x14ac:dyDescent="0.3">
      <c r="A290" s="16"/>
      <c r="B290" s="1">
        <v>289</v>
      </c>
      <c r="C290" s="1" t="s">
        <v>179</v>
      </c>
      <c r="D290" s="1">
        <v>811303499</v>
      </c>
      <c r="E290" s="1" t="s">
        <v>1091</v>
      </c>
      <c r="F290" s="1" t="s">
        <v>1255</v>
      </c>
      <c r="G290" s="1" t="s">
        <v>17</v>
      </c>
      <c r="H290" s="1" t="s">
        <v>18</v>
      </c>
      <c r="I290" s="1" t="s">
        <v>30</v>
      </c>
      <c r="J290" s="1" t="s">
        <v>20</v>
      </c>
      <c r="K290" s="2" t="s">
        <v>20</v>
      </c>
      <c r="L290" s="6">
        <v>72</v>
      </c>
      <c r="M290" s="2">
        <v>0</v>
      </c>
      <c r="N290" s="6" t="s">
        <v>31</v>
      </c>
      <c r="O290" s="2" t="s">
        <v>32</v>
      </c>
      <c r="P290" s="8">
        <v>0</v>
      </c>
    </row>
    <row r="291" spans="1:16" x14ac:dyDescent="0.3">
      <c r="A291" s="16"/>
      <c r="B291" s="1">
        <v>290</v>
      </c>
      <c r="C291" s="1" t="s">
        <v>179</v>
      </c>
      <c r="D291" s="1">
        <v>1950669383</v>
      </c>
      <c r="E291" s="1" t="s">
        <v>1021</v>
      </c>
      <c r="F291" s="1" t="s">
        <v>1202</v>
      </c>
      <c r="G291" s="1" t="s">
        <v>17</v>
      </c>
      <c r="H291" s="1" t="s">
        <v>18</v>
      </c>
      <c r="I291" s="1" t="s">
        <v>30</v>
      </c>
      <c r="J291" s="1" t="s">
        <v>20</v>
      </c>
      <c r="K291" s="2" t="s">
        <v>20</v>
      </c>
      <c r="L291" s="6">
        <v>59</v>
      </c>
      <c r="M291" s="2">
        <v>0</v>
      </c>
      <c r="N291" s="6" t="s">
        <v>31</v>
      </c>
      <c r="O291" s="2" t="s">
        <v>32</v>
      </c>
      <c r="P291" s="8">
        <v>0</v>
      </c>
    </row>
    <row r="292" spans="1:16" x14ac:dyDescent="0.3">
      <c r="A292" s="16"/>
      <c r="B292" s="1">
        <v>291</v>
      </c>
      <c r="C292" s="1" t="s">
        <v>179</v>
      </c>
      <c r="D292" s="1">
        <v>55611925</v>
      </c>
      <c r="E292" s="1" t="s">
        <v>1092</v>
      </c>
      <c r="F292" s="1" t="s">
        <v>932</v>
      </c>
      <c r="G292" s="1" t="s">
        <v>17</v>
      </c>
      <c r="H292" s="1" t="s">
        <v>18</v>
      </c>
      <c r="I292" s="1" t="s">
        <v>30</v>
      </c>
      <c r="J292" s="1" t="s">
        <v>20</v>
      </c>
      <c r="K292" s="2" t="s">
        <v>20</v>
      </c>
      <c r="L292" s="6">
        <v>39</v>
      </c>
      <c r="M292" s="2">
        <v>0</v>
      </c>
      <c r="N292" s="6" t="s">
        <v>31</v>
      </c>
      <c r="O292" s="2" t="s">
        <v>32</v>
      </c>
      <c r="P292" s="8">
        <v>0</v>
      </c>
    </row>
    <row r="293" spans="1:16" x14ac:dyDescent="0.3">
      <c r="A293" s="16"/>
      <c r="B293" s="1">
        <v>292</v>
      </c>
      <c r="C293" s="1" t="s">
        <v>179</v>
      </c>
      <c r="D293" s="1">
        <v>55958585</v>
      </c>
      <c r="E293" s="1" t="s">
        <v>304</v>
      </c>
      <c r="F293" s="1" t="s">
        <v>190</v>
      </c>
      <c r="G293" s="1" t="s">
        <v>17</v>
      </c>
      <c r="H293" s="1" t="s">
        <v>18</v>
      </c>
      <c r="I293" s="1" t="s">
        <v>30</v>
      </c>
      <c r="J293" s="1" t="s">
        <v>1015</v>
      </c>
      <c r="K293" s="2" t="s">
        <v>1015</v>
      </c>
      <c r="L293" s="6">
        <v>62</v>
      </c>
      <c r="M293" s="2">
        <v>0</v>
      </c>
      <c r="N293" s="6" t="s">
        <v>31</v>
      </c>
      <c r="O293" s="2" t="s">
        <v>32</v>
      </c>
      <c r="P293" s="8">
        <v>0</v>
      </c>
    </row>
    <row r="294" spans="1:16" x14ac:dyDescent="0.3">
      <c r="A294" s="16"/>
      <c r="B294" s="1">
        <v>293</v>
      </c>
      <c r="C294" s="1" t="s">
        <v>179</v>
      </c>
      <c r="D294" s="1">
        <v>811303348</v>
      </c>
      <c r="E294" s="1" t="s">
        <v>1093</v>
      </c>
      <c r="F294" s="1" t="s">
        <v>1200</v>
      </c>
      <c r="G294" s="1" t="s">
        <v>17</v>
      </c>
      <c r="H294" s="1" t="s">
        <v>18</v>
      </c>
      <c r="I294" s="1" t="s">
        <v>30</v>
      </c>
      <c r="J294" s="1" t="s">
        <v>20</v>
      </c>
      <c r="K294" s="2" t="s">
        <v>20</v>
      </c>
      <c r="L294" s="6">
        <v>43</v>
      </c>
      <c r="M294" s="2">
        <v>0</v>
      </c>
      <c r="N294" s="6" t="s">
        <v>31</v>
      </c>
      <c r="O294" s="2" t="s">
        <v>32</v>
      </c>
      <c r="P294" s="8">
        <v>0</v>
      </c>
    </row>
    <row r="295" spans="1:16" x14ac:dyDescent="0.3">
      <c r="A295" s="16"/>
      <c r="B295" s="1">
        <v>294</v>
      </c>
      <c r="C295" s="1" t="s">
        <v>179</v>
      </c>
      <c r="D295" s="1">
        <v>25088834</v>
      </c>
      <c r="E295" s="1" t="s">
        <v>1094</v>
      </c>
      <c r="F295" s="1" t="s">
        <v>1200</v>
      </c>
      <c r="G295" s="1" t="s">
        <v>17</v>
      </c>
      <c r="H295" s="1" t="s">
        <v>18</v>
      </c>
      <c r="I295" s="1" t="s">
        <v>19</v>
      </c>
      <c r="J295" s="1" t="s">
        <v>20</v>
      </c>
      <c r="K295" s="2" t="s">
        <v>20</v>
      </c>
      <c r="L295" s="6">
        <v>39</v>
      </c>
      <c r="M295" s="2">
        <v>4.88</v>
      </c>
      <c r="N295" s="6" t="s">
        <v>36</v>
      </c>
      <c r="O295" s="2" t="s">
        <v>22</v>
      </c>
      <c r="P295" s="8">
        <v>169000</v>
      </c>
    </row>
    <row r="296" spans="1:16" x14ac:dyDescent="0.3">
      <c r="A296" s="16"/>
      <c r="B296" s="1">
        <v>295</v>
      </c>
      <c r="C296" s="1" t="s">
        <v>179</v>
      </c>
      <c r="D296" s="1">
        <v>55528792</v>
      </c>
      <c r="E296" s="1" t="s">
        <v>305</v>
      </c>
      <c r="F296" s="1" t="s">
        <v>306</v>
      </c>
      <c r="G296" s="1" t="s">
        <v>17</v>
      </c>
      <c r="H296" s="1" t="s">
        <v>25</v>
      </c>
      <c r="I296" s="1" t="s">
        <v>216</v>
      </c>
      <c r="J296" s="1" t="s">
        <v>1015</v>
      </c>
      <c r="K296" s="2" t="s">
        <v>1015</v>
      </c>
      <c r="L296" s="6">
        <v>53</v>
      </c>
      <c r="M296" s="2">
        <v>0.99</v>
      </c>
      <c r="N296" s="6" t="s">
        <v>21</v>
      </c>
      <c r="O296" s="2" t="s">
        <v>41</v>
      </c>
      <c r="P296" s="8">
        <v>28000</v>
      </c>
    </row>
    <row r="297" spans="1:16" x14ac:dyDescent="0.3">
      <c r="A297" s="16"/>
      <c r="B297" s="1">
        <v>296</v>
      </c>
      <c r="C297" s="1" t="s">
        <v>179</v>
      </c>
      <c r="D297" s="1">
        <v>22246732</v>
      </c>
      <c r="E297" s="1" t="s">
        <v>307</v>
      </c>
      <c r="F297" s="1" t="s">
        <v>285</v>
      </c>
      <c r="G297" s="1" t="s">
        <v>17</v>
      </c>
      <c r="H297" s="1" t="s">
        <v>18</v>
      </c>
      <c r="I297" s="1" t="s">
        <v>30</v>
      </c>
      <c r="J297" s="1" t="s">
        <v>20</v>
      </c>
      <c r="K297" s="2" t="s">
        <v>20</v>
      </c>
      <c r="L297" s="6">
        <v>72</v>
      </c>
      <c r="M297" s="2">
        <v>0</v>
      </c>
      <c r="N297" s="6" t="s">
        <v>31</v>
      </c>
      <c r="O297" s="2" t="s">
        <v>32</v>
      </c>
      <c r="P297" s="8">
        <v>0</v>
      </c>
    </row>
    <row r="298" spans="1:16" x14ac:dyDescent="0.3">
      <c r="A298" s="16"/>
      <c r="B298" s="1">
        <v>297</v>
      </c>
      <c r="C298" s="1" t="s">
        <v>179</v>
      </c>
      <c r="D298" s="1">
        <v>55526833</v>
      </c>
      <c r="E298" s="1" t="s">
        <v>308</v>
      </c>
      <c r="F298" s="1" t="s">
        <v>309</v>
      </c>
      <c r="G298" s="1" t="s">
        <v>17</v>
      </c>
      <c r="H298" s="1" t="s">
        <v>18</v>
      </c>
      <c r="I298" s="1" t="s">
        <v>19</v>
      </c>
      <c r="J298" s="1" t="s">
        <v>20</v>
      </c>
      <c r="K298" s="2" t="s">
        <v>20</v>
      </c>
      <c r="L298" s="6">
        <v>52</v>
      </c>
      <c r="M298" s="2">
        <v>3.47</v>
      </c>
      <c r="N298" s="6" t="s">
        <v>21</v>
      </c>
      <c r="O298" s="2" t="s">
        <v>27</v>
      </c>
      <c r="P298" s="8">
        <v>82000</v>
      </c>
    </row>
    <row r="299" spans="1:16" x14ac:dyDescent="0.3">
      <c r="A299" s="16"/>
      <c r="B299" s="1">
        <v>298</v>
      </c>
      <c r="C299" s="1" t="s">
        <v>179</v>
      </c>
      <c r="D299" s="1">
        <v>55568162</v>
      </c>
      <c r="E299" s="1" t="s">
        <v>310</v>
      </c>
      <c r="F299" s="1" t="s">
        <v>311</v>
      </c>
      <c r="G299" s="1" t="s">
        <v>17</v>
      </c>
      <c r="H299" s="1" t="s">
        <v>18</v>
      </c>
      <c r="I299" s="1" t="s">
        <v>19</v>
      </c>
      <c r="J299" s="1" t="s">
        <v>1015</v>
      </c>
      <c r="K299" s="2" t="s">
        <v>1015</v>
      </c>
      <c r="L299" s="6">
        <v>42</v>
      </c>
      <c r="M299" s="2">
        <v>0.93</v>
      </c>
      <c r="N299" s="6" t="s">
        <v>21</v>
      </c>
      <c r="O299" s="2" t="s">
        <v>22</v>
      </c>
      <c r="P299" s="8">
        <v>26000</v>
      </c>
    </row>
    <row r="300" spans="1:16" x14ac:dyDescent="0.3">
      <c r="A300" s="16"/>
      <c r="B300" s="1">
        <v>299</v>
      </c>
      <c r="C300" s="1" t="s">
        <v>179</v>
      </c>
      <c r="D300" s="1">
        <v>55513407</v>
      </c>
      <c r="E300" s="1" t="s">
        <v>312</v>
      </c>
      <c r="F300" s="1" t="s">
        <v>313</v>
      </c>
      <c r="G300" s="1" t="s">
        <v>17</v>
      </c>
      <c r="H300" s="1" t="s">
        <v>18</v>
      </c>
      <c r="I300" s="1" t="s">
        <v>19</v>
      </c>
      <c r="J300" s="1" t="s">
        <v>20</v>
      </c>
      <c r="K300" s="2" t="s">
        <v>20</v>
      </c>
      <c r="L300" s="6">
        <v>65</v>
      </c>
      <c r="M300" s="2">
        <v>3.92</v>
      </c>
      <c r="N300" s="6" t="s">
        <v>21</v>
      </c>
      <c r="O300" s="2" t="s">
        <v>41</v>
      </c>
      <c r="P300" s="8">
        <v>133000</v>
      </c>
    </row>
    <row r="301" spans="1:16" x14ac:dyDescent="0.3">
      <c r="A301" s="16"/>
      <c r="B301" s="1">
        <v>300</v>
      </c>
      <c r="C301" s="1" t="s">
        <v>179</v>
      </c>
      <c r="D301" s="1">
        <v>811301461</v>
      </c>
      <c r="E301" s="1" t="s">
        <v>1095</v>
      </c>
      <c r="F301" s="1" t="s">
        <v>1256</v>
      </c>
      <c r="G301" s="1" t="s">
        <v>17</v>
      </c>
      <c r="H301" s="1" t="s">
        <v>18</v>
      </c>
      <c r="I301" s="1" t="s">
        <v>30</v>
      </c>
      <c r="J301" s="1" t="s">
        <v>20</v>
      </c>
      <c r="K301" s="2" t="s">
        <v>20</v>
      </c>
      <c r="L301" s="6">
        <v>63</v>
      </c>
      <c r="M301" s="2">
        <v>0</v>
      </c>
      <c r="N301" s="6" t="s">
        <v>31</v>
      </c>
      <c r="O301" s="2" t="s">
        <v>32</v>
      </c>
      <c r="P301" s="8">
        <v>0</v>
      </c>
    </row>
    <row r="302" spans="1:16" x14ac:dyDescent="0.3">
      <c r="A302" s="16"/>
      <c r="B302" s="1">
        <v>301</v>
      </c>
      <c r="C302" s="1" t="s">
        <v>179</v>
      </c>
      <c r="D302" s="1">
        <v>1950671020</v>
      </c>
      <c r="E302" s="1" t="s">
        <v>1023</v>
      </c>
      <c r="F302" s="1" t="s">
        <v>1204</v>
      </c>
      <c r="G302" s="1" t="s">
        <v>17</v>
      </c>
      <c r="H302" s="1" t="s">
        <v>18</v>
      </c>
      <c r="I302" s="1" t="s">
        <v>30</v>
      </c>
      <c r="J302" s="1" t="s">
        <v>20</v>
      </c>
      <c r="K302" s="2" t="s">
        <v>20</v>
      </c>
      <c r="L302" s="6">
        <v>37</v>
      </c>
      <c r="M302" s="2">
        <v>0</v>
      </c>
      <c r="N302" s="6" t="s">
        <v>31</v>
      </c>
      <c r="O302" s="2" t="s">
        <v>32</v>
      </c>
      <c r="P302" s="8">
        <v>0</v>
      </c>
    </row>
    <row r="303" spans="1:16" x14ac:dyDescent="0.3">
      <c r="A303" s="16"/>
      <c r="B303" s="1">
        <v>302</v>
      </c>
      <c r="C303" s="1" t="s">
        <v>179</v>
      </c>
      <c r="D303" s="1">
        <v>55532128</v>
      </c>
      <c r="E303" s="1" t="s">
        <v>314</v>
      </c>
      <c r="F303" s="1" t="s">
        <v>209</v>
      </c>
      <c r="G303" s="1" t="s">
        <v>17</v>
      </c>
      <c r="H303" s="1" t="s">
        <v>18</v>
      </c>
      <c r="I303" s="1" t="s">
        <v>19</v>
      </c>
      <c r="J303" s="1" t="s">
        <v>20</v>
      </c>
      <c r="K303" s="2" t="s">
        <v>20</v>
      </c>
      <c r="L303" s="6">
        <v>37</v>
      </c>
      <c r="M303" s="2">
        <v>2.62</v>
      </c>
      <c r="N303" s="6" t="s">
        <v>21</v>
      </c>
      <c r="O303" s="2" t="s">
        <v>59</v>
      </c>
      <c r="P303" s="8">
        <v>99000</v>
      </c>
    </row>
    <row r="304" spans="1:16" x14ac:dyDescent="0.3">
      <c r="A304" s="16"/>
      <c r="B304" s="1">
        <v>303</v>
      </c>
      <c r="C304" s="1" t="s">
        <v>179</v>
      </c>
      <c r="D304" s="1">
        <v>55544436</v>
      </c>
      <c r="E304" s="1" t="s">
        <v>1096</v>
      </c>
      <c r="F304" s="1" t="s">
        <v>1257</v>
      </c>
      <c r="G304" s="1" t="s">
        <v>88</v>
      </c>
      <c r="H304" s="1" t="s">
        <v>25</v>
      </c>
      <c r="I304" s="1" t="s">
        <v>184</v>
      </c>
      <c r="J304" s="1" t="s">
        <v>20</v>
      </c>
      <c r="K304" s="2" t="s">
        <v>20</v>
      </c>
      <c r="L304" s="6">
        <v>33</v>
      </c>
      <c r="M304" s="2">
        <v>1.95</v>
      </c>
      <c r="N304" s="6" t="s">
        <v>58</v>
      </c>
      <c r="O304" s="2" t="s">
        <v>22</v>
      </c>
      <c r="P304" s="8">
        <v>50000</v>
      </c>
    </row>
    <row r="305" spans="1:16" x14ac:dyDescent="0.3">
      <c r="A305" s="16"/>
      <c r="B305" s="1">
        <v>304</v>
      </c>
      <c r="C305" s="1" t="s">
        <v>179</v>
      </c>
      <c r="D305" s="1">
        <v>55139362</v>
      </c>
      <c r="E305" s="1" t="s">
        <v>315</v>
      </c>
      <c r="F305" s="1" t="s">
        <v>316</v>
      </c>
      <c r="G305" s="1" t="s">
        <v>88</v>
      </c>
      <c r="H305" s="1" t="s">
        <v>18</v>
      </c>
      <c r="I305" s="1" t="s">
        <v>120</v>
      </c>
      <c r="J305" s="1" t="s">
        <v>1015</v>
      </c>
      <c r="K305" s="2" t="s">
        <v>1015</v>
      </c>
      <c r="L305" s="6">
        <v>42</v>
      </c>
      <c r="M305" s="2">
        <v>1.91</v>
      </c>
      <c r="N305" s="6" t="s">
        <v>21</v>
      </c>
      <c r="O305" s="2" t="s">
        <v>41</v>
      </c>
      <c r="P305" s="8">
        <v>32000</v>
      </c>
    </row>
    <row r="306" spans="1:16" x14ac:dyDescent="0.3">
      <c r="A306" s="16"/>
      <c r="B306" s="1">
        <v>305</v>
      </c>
      <c r="C306" s="1" t="s">
        <v>179</v>
      </c>
      <c r="D306" s="1">
        <v>1950673956</v>
      </c>
      <c r="E306" s="1" t="s">
        <v>1024</v>
      </c>
      <c r="F306" s="1" t="s">
        <v>1205</v>
      </c>
      <c r="G306" s="1" t="s">
        <v>17</v>
      </c>
      <c r="H306" s="1" t="s">
        <v>25</v>
      </c>
      <c r="I306" s="1" t="s">
        <v>216</v>
      </c>
      <c r="J306" s="1" t="s">
        <v>20</v>
      </c>
      <c r="K306" s="2" t="s">
        <v>1015</v>
      </c>
      <c r="L306" s="6">
        <v>47</v>
      </c>
      <c r="M306" s="2">
        <v>2.99</v>
      </c>
      <c r="N306" s="6" t="s">
        <v>21</v>
      </c>
      <c r="O306" s="2" t="s">
        <v>41</v>
      </c>
      <c r="P306" s="8">
        <v>50000</v>
      </c>
    </row>
    <row r="307" spans="1:16" x14ac:dyDescent="0.3">
      <c r="A307" s="16"/>
      <c r="B307" s="1">
        <v>306</v>
      </c>
      <c r="C307" s="1" t="s">
        <v>179</v>
      </c>
      <c r="D307" s="1">
        <v>55134076</v>
      </c>
      <c r="E307" s="1" t="s">
        <v>317</v>
      </c>
      <c r="F307" s="1" t="s">
        <v>318</v>
      </c>
      <c r="G307" s="1" t="s">
        <v>17</v>
      </c>
      <c r="H307" s="1" t="s">
        <v>18</v>
      </c>
      <c r="I307" s="1" t="s">
        <v>19</v>
      </c>
      <c r="J307" s="1" t="s">
        <v>20</v>
      </c>
      <c r="K307" s="2" t="s">
        <v>20</v>
      </c>
      <c r="L307" s="6">
        <v>76</v>
      </c>
      <c r="M307" s="2">
        <v>0.92</v>
      </c>
      <c r="N307" s="6" t="s">
        <v>21</v>
      </c>
      <c r="O307" s="2" t="s">
        <v>22</v>
      </c>
      <c r="P307" s="8">
        <v>55000</v>
      </c>
    </row>
    <row r="308" spans="1:16" x14ac:dyDescent="0.3">
      <c r="A308" s="16"/>
      <c r="B308" s="1">
        <v>307</v>
      </c>
      <c r="C308" s="1" t="s">
        <v>179</v>
      </c>
      <c r="D308" s="1">
        <v>55134556</v>
      </c>
      <c r="E308" s="1" t="s">
        <v>319</v>
      </c>
      <c r="F308" s="1" t="s">
        <v>320</v>
      </c>
      <c r="G308" s="1" t="s">
        <v>17</v>
      </c>
      <c r="H308" s="1" t="s">
        <v>18</v>
      </c>
      <c r="I308" s="1" t="s">
        <v>30</v>
      </c>
      <c r="J308" s="1" t="s">
        <v>20</v>
      </c>
      <c r="K308" s="2" t="s">
        <v>20</v>
      </c>
      <c r="L308" s="6">
        <v>58</v>
      </c>
      <c r="M308" s="2">
        <v>0</v>
      </c>
      <c r="N308" s="6" t="s">
        <v>31</v>
      </c>
      <c r="O308" s="2" t="s">
        <v>32</v>
      </c>
      <c r="P308" s="8">
        <v>0</v>
      </c>
    </row>
    <row r="309" spans="1:16" x14ac:dyDescent="0.3">
      <c r="A309" s="16"/>
      <c r="B309" s="1">
        <v>308</v>
      </c>
      <c r="C309" s="1" t="s">
        <v>179</v>
      </c>
      <c r="D309" s="1">
        <v>55469865</v>
      </c>
      <c r="E309" s="1" t="s">
        <v>321</v>
      </c>
      <c r="F309" s="1" t="s">
        <v>322</v>
      </c>
      <c r="G309" s="1" t="s">
        <v>17</v>
      </c>
      <c r="H309" s="1" t="s">
        <v>18</v>
      </c>
      <c r="I309" s="1" t="s">
        <v>19</v>
      </c>
      <c r="J309" s="1" t="s">
        <v>20</v>
      </c>
      <c r="K309" s="2" t="s">
        <v>20</v>
      </c>
      <c r="L309" s="6">
        <v>36</v>
      </c>
      <c r="M309" s="2">
        <v>4.1500000000000004</v>
      </c>
      <c r="N309" s="6" t="s">
        <v>21</v>
      </c>
      <c r="O309" s="2" t="s">
        <v>59</v>
      </c>
      <c r="P309" s="8">
        <v>135000</v>
      </c>
    </row>
    <row r="310" spans="1:16" x14ac:dyDescent="0.3">
      <c r="A310" s="16"/>
      <c r="B310" s="1">
        <v>309</v>
      </c>
      <c r="C310" s="1" t="s">
        <v>179</v>
      </c>
      <c r="D310" s="1">
        <v>55149007</v>
      </c>
      <c r="E310" s="1" t="s">
        <v>323</v>
      </c>
      <c r="F310" s="1" t="s">
        <v>324</v>
      </c>
      <c r="G310" s="1" t="s">
        <v>17</v>
      </c>
      <c r="H310" s="1" t="s">
        <v>18</v>
      </c>
      <c r="I310" s="1" t="s">
        <v>19</v>
      </c>
      <c r="J310" s="1" t="s">
        <v>20</v>
      </c>
      <c r="K310" s="2" t="s">
        <v>20</v>
      </c>
      <c r="L310" s="6">
        <v>32</v>
      </c>
      <c r="M310" s="2">
        <v>2.1800000000000002</v>
      </c>
      <c r="N310" s="6" t="s">
        <v>21</v>
      </c>
      <c r="O310" s="2" t="s">
        <v>22</v>
      </c>
      <c r="P310" s="8">
        <v>92000</v>
      </c>
    </row>
    <row r="311" spans="1:16" x14ac:dyDescent="0.3">
      <c r="A311" s="16"/>
      <c r="B311" s="1">
        <v>310</v>
      </c>
      <c r="C311" s="1" t="s">
        <v>179</v>
      </c>
      <c r="D311" s="1">
        <v>55953852</v>
      </c>
      <c r="E311" s="1" t="s">
        <v>325</v>
      </c>
      <c r="F311" s="1" t="s">
        <v>326</v>
      </c>
      <c r="G311" s="1" t="s">
        <v>17</v>
      </c>
      <c r="H311" s="1" t="s">
        <v>18</v>
      </c>
      <c r="I311" s="1" t="s">
        <v>19</v>
      </c>
      <c r="J311" s="1" t="s">
        <v>1015</v>
      </c>
      <c r="K311" s="2" t="s">
        <v>1015</v>
      </c>
      <c r="L311" s="6">
        <v>66</v>
      </c>
      <c r="M311" s="2">
        <v>1.31</v>
      </c>
      <c r="N311" s="6" t="s">
        <v>58</v>
      </c>
      <c r="O311" s="2" t="s">
        <v>55</v>
      </c>
      <c r="P311" s="8">
        <v>31000</v>
      </c>
    </row>
    <row r="312" spans="1:16" x14ac:dyDescent="0.3">
      <c r="A312" s="16"/>
      <c r="B312" s="1">
        <v>311</v>
      </c>
      <c r="C312" s="1" t="s">
        <v>179</v>
      </c>
      <c r="D312" s="1">
        <v>55519206</v>
      </c>
      <c r="E312" s="1" t="s">
        <v>327</v>
      </c>
      <c r="F312" s="1" t="s">
        <v>328</v>
      </c>
      <c r="G312" s="1" t="s">
        <v>17</v>
      </c>
      <c r="H312" s="1" t="s">
        <v>25</v>
      </c>
      <c r="I312" s="1" t="s">
        <v>216</v>
      </c>
      <c r="J312" s="1" t="s">
        <v>1015</v>
      </c>
      <c r="K312" s="2" t="s">
        <v>1015</v>
      </c>
      <c r="L312" s="6">
        <v>59</v>
      </c>
      <c r="M312" s="2">
        <v>6.09</v>
      </c>
      <c r="N312" s="6" t="s">
        <v>21</v>
      </c>
      <c r="O312" s="2" t="s">
        <v>59</v>
      </c>
      <c r="P312" s="8">
        <v>270000</v>
      </c>
    </row>
    <row r="313" spans="1:16" x14ac:dyDescent="0.3">
      <c r="A313" s="16"/>
      <c r="B313" s="1">
        <v>312</v>
      </c>
      <c r="C313" s="1" t="s">
        <v>179</v>
      </c>
      <c r="D313" s="1">
        <v>54098947</v>
      </c>
      <c r="E313" s="1" t="s">
        <v>329</v>
      </c>
      <c r="F313" s="1" t="s">
        <v>330</v>
      </c>
      <c r="G313" s="1" t="s">
        <v>17</v>
      </c>
      <c r="H313" s="1" t="s">
        <v>18</v>
      </c>
      <c r="I313" s="1" t="s">
        <v>19</v>
      </c>
      <c r="J313" s="1" t="s">
        <v>20</v>
      </c>
      <c r="K313" s="2" t="s">
        <v>20</v>
      </c>
      <c r="L313" s="6">
        <v>65</v>
      </c>
      <c r="M313" s="2">
        <v>0.86</v>
      </c>
      <c r="N313" s="6" t="s">
        <v>58</v>
      </c>
      <c r="O313" s="2" t="s">
        <v>27</v>
      </c>
      <c r="P313" s="8">
        <v>41000</v>
      </c>
    </row>
    <row r="314" spans="1:16" x14ac:dyDescent="0.3">
      <c r="A314" s="16"/>
      <c r="B314" s="1">
        <v>313</v>
      </c>
      <c r="C314" s="1" t="s">
        <v>179</v>
      </c>
      <c r="D314" s="1">
        <v>55447148</v>
      </c>
      <c r="E314" s="1" t="s">
        <v>331</v>
      </c>
      <c r="F314" s="1" t="s">
        <v>332</v>
      </c>
      <c r="G314" s="1" t="s">
        <v>17</v>
      </c>
      <c r="H314" s="1" t="s">
        <v>18</v>
      </c>
      <c r="I314" s="1" t="s">
        <v>19</v>
      </c>
      <c r="J314" s="1" t="s">
        <v>20</v>
      </c>
      <c r="K314" s="2" t="s">
        <v>20</v>
      </c>
      <c r="L314" s="6">
        <v>29</v>
      </c>
      <c r="M314" s="2">
        <v>2</v>
      </c>
      <c r="N314" s="6" t="s">
        <v>58</v>
      </c>
      <c r="O314" s="2" t="s">
        <v>22</v>
      </c>
      <c r="P314" s="8">
        <v>61000</v>
      </c>
    </row>
    <row r="315" spans="1:16" x14ac:dyDescent="0.3">
      <c r="A315" s="16"/>
      <c r="B315" s="1">
        <v>314</v>
      </c>
      <c r="C315" s="1" t="s">
        <v>179</v>
      </c>
      <c r="D315" s="1">
        <v>55146465</v>
      </c>
      <c r="E315" s="1" t="s">
        <v>333</v>
      </c>
      <c r="F315" s="1" t="s">
        <v>334</v>
      </c>
      <c r="G315" s="1" t="s">
        <v>17</v>
      </c>
      <c r="H315" s="1" t="s">
        <v>18</v>
      </c>
      <c r="I315" s="1" t="s">
        <v>30</v>
      </c>
      <c r="J315" s="1" t="s">
        <v>20</v>
      </c>
      <c r="K315" s="2" t="s">
        <v>20</v>
      </c>
      <c r="L315" s="6">
        <v>73</v>
      </c>
      <c r="M315" s="2">
        <v>0</v>
      </c>
      <c r="N315" s="6" t="s">
        <v>31</v>
      </c>
      <c r="O315" s="2" t="s">
        <v>32</v>
      </c>
      <c r="P315" s="8">
        <v>0</v>
      </c>
    </row>
    <row r="316" spans="1:16" x14ac:dyDescent="0.3">
      <c r="A316" s="16"/>
      <c r="B316" s="1">
        <v>315</v>
      </c>
      <c r="C316" s="1" t="s">
        <v>179</v>
      </c>
      <c r="D316" s="1">
        <v>55464266</v>
      </c>
      <c r="E316" s="1" t="s">
        <v>335</v>
      </c>
      <c r="F316" s="1" t="s">
        <v>336</v>
      </c>
      <c r="G316" s="1" t="s">
        <v>88</v>
      </c>
      <c r="H316" s="1" t="s">
        <v>18</v>
      </c>
      <c r="I316" s="1" t="s">
        <v>120</v>
      </c>
      <c r="J316" s="1" t="s">
        <v>20</v>
      </c>
      <c r="K316" s="2" t="s">
        <v>20</v>
      </c>
      <c r="L316" s="6">
        <v>27</v>
      </c>
      <c r="M316" s="2">
        <v>1.42</v>
      </c>
      <c r="N316" s="6" t="s">
        <v>21</v>
      </c>
      <c r="O316" s="2" t="s">
        <v>22</v>
      </c>
      <c r="P316" s="8">
        <v>39000</v>
      </c>
    </row>
    <row r="317" spans="1:16" x14ac:dyDescent="0.3">
      <c r="A317" s="16"/>
      <c r="B317" s="1">
        <v>316</v>
      </c>
      <c r="C317" s="1" t="s">
        <v>179</v>
      </c>
      <c r="D317" s="1">
        <v>1950689011</v>
      </c>
      <c r="E317" s="1" t="s">
        <v>1027</v>
      </c>
      <c r="F317" s="1" t="s">
        <v>1207</v>
      </c>
      <c r="G317" s="1" t="s">
        <v>17</v>
      </c>
      <c r="H317" s="1" t="s">
        <v>18</v>
      </c>
      <c r="I317" s="1" t="s">
        <v>30</v>
      </c>
      <c r="J317" s="1" t="s">
        <v>20</v>
      </c>
      <c r="K317" s="2" t="s">
        <v>20</v>
      </c>
      <c r="L317" s="6">
        <v>83</v>
      </c>
      <c r="M317" s="2">
        <v>0</v>
      </c>
      <c r="N317" s="6" t="s">
        <v>31</v>
      </c>
      <c r="O317" s="2" t="s">
        <v>32</v>
      </c>
      <c r="P317" s="8">
        <v>0</v>
      </c>
    </row>
    <row r="318" spans="1:16" x14ac:dyDescent="0.3">
      <c r="A318" s="16"/>
      <c r="B318" s="1">
        <v>317</v>
      </c>
      <c r="C318" s="1" t="s">
        <v>179</v>
      </c>
      <c r="D318" s="1">
        <v>811301848</v>
      </c>
      <c r="E318" s="1" t="s">
        <v>1097</v>
      </c>
      <c r="F318" s="1" t="s">
        <v>1258</v>
      </c>
      <c r="G318" s="1" t="s">
        <v>17</v>
      </c>
      <c r="H318" s="1" t="s">
        <v>18</v>
      </c>
      <c r="I318" s="1" t="s">
        <v>30</v>
      </c>
      <c r="J318" s="1" t="s">
        <v>20</v>
      </c>
      <c r="K318" s="2" t="s">
        <v>20</v>
      </c>
      <c r="L318" s="6">
        <v>46</v>
      </c>
      <c r="M318" s="2">
        <v>0</v>
      </c>
      <c r="N318" s="6" t="s">
        <v>31</v>
      </c>
      <c r="O318" s="2" t="s">
        <v>32</v>
      </c>
      <c r="P318" s="8">
        <v>0</v>
      </c>
    </row>
    <row r="319" spans="1:16" x14ac:dyDescent="0.3">
      <c r="A319" s="16"/>
      <c r="B319" s="1">
        <v>318</v>
      </c>
      <c r="C319" s="1" t="s">
        <v>179</v>
      </c>
      <c r="D319" s="1">
        <v>811303601</v>
      </c>
      <c r="E319" s="1" t="s">
        <v>1098</v>
      </c>
      <c r="F319" s="1" t="s">
        <v>1259</v>
      </c>
      <c r="G319" s="1" t="s">
        <v>17</v>
      </c>
      <c r="H319" s="1" t="s">
        <v>18</v>
      </c>
      <c r="I319" s="1" t="s">
        <v>30</v>
      </c>
      <c r="J319" s="1" t="s">
        <v>20</v>
      </c>
      <c r="K319" s="2" t="s">
        <v>20</v>
      </c>
      <c r="L319" s="6">
        <v>45</v>
      </c>
      <c r="M319" s="2">
        <v>0</v>
      </c>
      <c r="N319" s="6" t="s">
        <v>31</v>
      </c>
      <c r="O319" s="2" t="s">
        <v>32</v>
      </c>
      <c r="P319" s="8">
        <v>0</v>
      </c>
    </row>
    <row r="320" spans="1:16" x14ac:dyDescent="0.3">
      <c r="A320" s="16"/>
      <c r="B320" s="1">
        <v>319</v>
      </c>
      <c r="C320" s="1" t="s">
        <v>179</v>
      </c>
      <c r="D320" s="1">
        <v>1950670555</v>
      </c>
      <c r="E320" s="1" t="s">
        <v>1028</v>
      </c>
      <c r="F320" s="1" t="s">
        <v>991</v>
      </c>
      <c r="G320" s="1" t="s">
        <v>17</v>
      </c>
      <c r="H320" s="1" t="s">
        <v>18</v>
      </c>
      <c r="I320" s="1" t="s">
        <v>30</v>
      </c>
      <c r="J320" s="1" t="s">
        <v>20</v>
      </c>
      <c r="K320" s="2" t="s">
        <v>20</v>
      </c>
      <c r="L320" s="6">
        <v>65</v>
      </c>
      <c r="M320" s="2">
        <v>0</v>
      </c>
      <c r="N320" s="6" t="s">
        <v>31</v>
      </c>
      <c r="O320" s="2" t="s">
        <v>32</v>
      </c>
      <c r="P320" s="8">
        <v>0</v>
      </c>
    </row>
    <row r="321" spans="1:16" x14ac:dyDescent="0.3">
      <c r="A321" s="16"/>
      <c r="B321" s="1">
        <v>320</v>
      </c>
      <c r="C321" s="1" t="s">
        <v>179</v>
      </c>
      <c r="D321" s="1">
        <v>55505915</v>
      </c>
      <c r="E321" s="1" t="s">
        <v>337</v>
      </c>
      <c r="F321" s="1" t="s">
        <v>338</v>
      </c>
      <c r="G321" s="1" t="s">
        <v>17</v>
      </c>
      <c r="H321" s="1" t="s">
        <v>18</v>
      </c>
      <c r="I321" s="1" t="s">
        <v>26</v>
      </c>
      <c r="J321" s="1" t="s">
        <v>20</v>
      </c>
      <c r="K321" s="2" t="s">
        <v>20</v>
      </c>
      <c r="L321" s="6">
        <v>82</v>
      </c>
      <c r="M321" s="2">
        <v>4.66</v>
      </c>
      <c r="N321" s="6" t="s">
        <v>21</v>
      </c>
      <c r="O321" s="2" t="s">
        <v>22</v>
      </c>
      <c r="P321" s="8">
        <v>214000</v>
      </c>
    </row>
    <row r="322" spans="1:16" x14ac:dyDescent="0.3">
      <c r="A322" s="16"/>
      <c r="B322" s="1">
        <v>321</v>
      </c>
      <c r="C322" s="1" t="s">
        <v>179</v>
      </c>
      <c r="D322" s="1">
        <v>55516735</v>
      </c>
      <c r="E322" s="1" t="s">
        <v>339</v>
      </c>
      <c r="F322" s="1" t="s">
        <v>272</v>
      </c>
      <c r="G322" s="1" t="s">
        <v>17</v>
      </c>
      <c r="H322" s="1" t="s">
        <v>18</v>
      </c>
      <c r="I322" s="1" t="s">
        <v>30</v>
      </c>
      <c r="J322" s="1" t="s">
        <v>1015</v>
      </c>
      <c r="K322" s="2" t="s">
        <v>1015</v>
      </c>
      <c r="L322" s="6">
        <v>28</v>
      </c>
      <c r="M322" s="2">
        <v>0</v>
      </c>
      <c r="N322" s="6" t="s">
        <v>31</v>
      </c>
      <c r="O322" s="2" t="s">
        <v>32</v>
      </c>
      <c r="P322" s="8">
        <v>0</v>
      </c>
    </row>
    <row r="323" spans="1:16" x14ac:dyDescent="0.3">
      <c r="A323" s="16"/>
      <c r="B323" s="1">
        <v>322</v>
      </c>
      <c r="C323" s="1" t="s">
        <v>179</v>
      </c>
      <c r="D323" s="1">
        <v>1950670500</v>
      </c>
      <c r="E323" s="1" t="s">
        <v>1030</v>
      </c>
      <c r="F323" s="1" t="s">
        <v>350</v>
      </c>
      <c r="G323" s="1" t="s">
        <v>17</v>
      </c>
      <c r="H323" s="1" t="s">
        <v>18</v>
      </c>
      <c r="I323" s="1" t="s">
        <v>30</v>
      </c>
      <c r="J323" s="1" t="s">
        <v>20</v>
      </c>
      <c r="K323" s="2" t="s">
        <v>20</v>
      </c>
      <c r="L323" s="6">
        <v>35</v>
      </c>
      <c r="M323" s="2">
        <v>0</v>
      </c>
      <c r="N323" s="6" t="s">
        <v>31</v>
      </c>
      <c r="O323" s="2" t="s">
        <v>32</v>
      </c>
      <c r="P323" s="8">
        <v>0</v>
      </c>
    </row>
    <row r="324" spans="1:16" x14ac:dyDescent="0.3">
      <c r="A324" s="16"/>
      <c r="B324" s="1">
        <v>323</v>
      </c>
      <c r="C324" s="1" t="s">
        <v>179</v>
      </c>
      <c r="D324" s="1">
        <v>55482093</v>
      </c>
      <c r="E324" s="1" t="s">
        <v>340</v>
      </c>
      <c r="F324" s="1" t="s">
        <v>341</v>
      </c>
      <c r="G324" s="1" t="s">
        <v>17</v>
      </c>
      <c r="H324" s="1" t="s">
        <v>18</v>
      </c>
      <c r="I324" s="1" t="s">
        <v>26</v>
      </c>
      <c r="J324" s="1" t="s">
        <v>20</v>
      </c>
      <c r="K324" s="2" t="s">
        <v>20</v>
      </c>
      <c r="L324" s="6">
        <v>51</v>
      </c>
      <c r="M324" s="2">
        <v>3.85</v>
      </c>
      <c r="N324" s="6" t="s">
        <v>21</v>
      </c>
      <c r="O324" s="2" t="s">
        <v>41</v>
      </c>
      <c r="P324" s="8">
        <v>75000</v>
      </c>
    </row>
    <row r="325" spans="1:16" x14ac:dyDescent="0.3">
      <c r="A325" s="16"/>
      <c r="B325" s="1">
        <v>324</v>
      </c>
      <c r="C325" s="1" t="s">
        <v>179</v>
      </c>
      <c r="D325" s="1">
        <v>811303195</v>
      </c>
      <c r="E325" s="1" t="s">
        <v>1099</v>
      </c>
      <c r="F325" s="1" t="s">
        <v>1260</v>
      </c>
      <c r="G325" s="1" t="s">
        <v>17</v>
      </c>
      <c r="H325" s="1" t="s">
        <v>25</v>
      </c>
      <c r="I325" s="1" t="s">
        <v>216</v>
      </c>
      <c r="J325" s="1" t="s">
        <v>20</v>
      </c>
      <c r="K325" s="2" t="s">
        <v>20</v>
      </c>
      <c r="L325" s="6">
        <v>37</v>
      </c>
      <c r="M325" s="2">
        <v>1.8</v>
      </c>
      <c r="N325" s="6" t="s">
        <v>21</v>
      </c>
      <c r="O325" s="2" t="s">
        <v>195</v>
      </c>
      <c r="P325" s="8">
        <v>90000</v>
      </c>
    </row>
    <row r="326" spans="1:16" x14ac:dyDescent="0.3">
      <c r="A326" s="16"/>
      <c r="B326" s="1">
        <v>325</v>
      </c>
      <c r="C326" s="1" t="s">
        <v>179</v>
      </c>
      <c r="D326" s="1">
        <v>55542863</v>
      </c>
      <c r="E326" s="1" t="s">
        <v>342</v>
      </c>
      <c r="F326" s="1" t="s">
        <v>343</v>
      </c>
      <c r="G326" s="1" t="s">
        <v>17</v>
      </c>
      <c r="H326" s="1" t="s">
        <v>25</v>
      </c>
      <c r="I326" s="1" t="s">
        <v>184</v>
      </c>
      <c r="J326" s="1" t="s">
        <v>1015</v>
      </c>
      <c r="K326" s="2" t="s">
        <v>1015</v>
      </c>
      <c r="L326" s="6">
        <v>58</v>
      </c>
      <c r="M326" s="2">
        <v>0.54</v>
      </c>
      <c r="N326" s="6" t="s">
        <v>36</v>
      </c>
      <c r="O326" s="2" t="s">
        <v>195</v>
      </c>
      <c r="P326" s="8">
        <v>21000</v>
      </c>
    </row>
    <row r="327" spans="1:16" x14ac:dyDescent="0.3">
      <c r="A327" s="16"/>
      <c r="B327" s="1">
        <v>326</v>
      </c>
      <c r="C327" s="1" t="s">
        <v>179</v>
      </c>
      <c r="D327" s="1">
        <v>55550706</v>
      </c>
      <c r="E327" s="1" t="s">
        <v>344</v>
      </c>
      <c r="F327" s="1" t="s">
        <v>345</v>
      </c>
      <c r="G327" s="1" t="s">
        <v>17</v>
      </c>
      <c r="H327" s="1" t="s">
        <v>25</v>
      </c>
      <c r="I327" s="1" t="s">
        <v>184</v>
      </c>
      <c r="J327" s="1" t="s">
        <v>1015</v>
      </c>
      <c r="K327" s="2" t="s">
        <v>1015</v>
      </c>
      <c r="L327" s="6">
        <v>79</v>
      </c>
      <c r="M327" s="2">
        <v>0.24</v>
      </c>
      <c r="N327" s="6" t="s">
        <v>21</v>
      </c>
      <c r="O327" s="2" t="s">
        <v>22</v>
      </c>
      <c r="P327" s="8">
        <v>13000</v>
      </c>
    </row>
    <row r="328" spans="1:16" x14ac:dyDescent="0.3">
      <c r="A328" s="16"/>
      <c r="B328" s="1">
        <v>327</v>
      </c>
      <c r="C328" s="1" t="s">
        <v>179</v>
      </c>
      <c r="D328" s="1">
        <v>25084154</v>
      </c>
      <c r="E328" s="1" t="s">
        <v>346</v>
      </c>
      <c r="F328" s="1" t="s">
        <v>347</v>
      </c>
      <c r="G328" s="1" t="s">
        <v>17</v>
      </c>
      <c r="H328" s="1" t="s">
        <v>25</v>
      </c>
      <c r="I328" s="1" t="s">
        <v>216</v>
      </c>
      <c r="J328" s="1" t="s">
        <v>20</v>
      </c>
      <c r="K328" s="2" t="s">
        <v>20</v>
      </c>
      <c r="L328" s="6">
        <v>79</v>
      </c>
      <c r="M328" s="2">
        <v>3.12</v>
      </c>
      <c r="N328" s="6" t="s">
        <v>21</v>
      </c>
      <c r="O328" s="2" t="s">
        <v>22</v>
      </c>
      <c r="P328" s="8">
        <v>70000</v>
      </c>
    </row>
    <row r="329" spans="1:16" x14ac:dyDescent="0.3">
      <c r="A329" s="16"/>
      <c r="B329" s="1">
        <v>328</v>
      </c>
      <c r="C329" s="1" t="s">
        <v>179</v>
      </c>
      <c r="D329" s="1">
        <v>55121743</v>
      </c>
      <c r="E329" s="1" t="s">
        <v>1100</v>
      </c>
      <c r="F329" s="1" t="s">
        <v>348</v>
      </c>
      <c r="G329" s="1" t="s">
        <v>88</v>
      </c>
      <c r="H329" s="1" t="s">
        <v>18</v>
      </c>
      <c r="I329" s="1" t="s">
        <v>120</v>
      </c>
      <c r="J329" s="1" t="s">
        <v>20</v>
      </c>
      <c r="K329" s="2" t="s">
        <v>20</v>
      </c>
      <c r="L329" s="6">
        <v>79</v>
      </c>
      <c r="M329" s="2">
        <v>0.89</v>
      </c>
      <c r="N329" s="6" t="s">
        <v>21</v>
      </c>
      <c r="O329" s="2" t="s">
        <v>22</v>
      </c>
      <c r="P329" s="8">
        <v>32000</v>
      </c>
    </row>
    <row r="330" spans="1:16" x14ac:dyDescent="0.3">
      <c r="A330" s="16"/>
      <c r="B330" s="1">
        <v>329</v>
      </c>
      <c r="C330" s="1" t="s">
        <v>179</v>
      </c>
      <c r="D330" s="1">
        <v>811347837</v>
      </c>
      <c r="E330" s="1" t="s">
        <v>349</v>
      </c>
      <c r="F330" s="1" t="s">
        <v>350</v>
      </c>
      <c r="G330" s="1" t="s">
        <v>88</v>
      </c>
      <c r="H330" s="1" t="s">
        <v>18</v>
      </c>
      <c r="I330" s="1" t="s">
        <v>120</v>
      </c>
      <c r="J330" s="1" t="s">
        <v>20</v>
      </c>
      <c r="K330" s="2" t="s">
        <v>20</v>
      </c>
      <c r="L330" s="6">
        <v>82</v>
      </c>
      <c r="M330" s="2">
        <v>0.2</v>
      </c>
      <c r="N330" s="6" t="s">
        <v>21</v>
      </c>
      <c r="O330" s="2" t="s">
        <v>22</v>
      </c>
      <c r="P330" s="8">
        <v>9000</v>
      </c>
    </row>
    <row r="331" spans="1:16" x14ac:dyDescent="0.3">
      <c r="A331" s="16"/>
      <c r="B331" s="1">
        <v>330</v>
      </c>
      <c r="C331" s="1" t="s">
        <v>179</v>
      </c>
      <c r="D331" s="1">
        <v>811302482</v>
      </c>
      <c r="E331" s="1" t="s">
        <v>351</v>
      </c>
      <c r="F331" s="1" t="s">
        <v>352</v>
      </c>
      <c r="G331" s="1" t="s">
        <v>17</v>
      </c>
      <c r="H331" s="1" t="s">
        <v>18</v>
      </c>
      <c r="I331" s="1" t="s">
        <v>19</v>
      </c>
      <c r="J331" s="1" t="s">
        <v>20</v>
      </c>
      <c r="K331" s="2" t="s">
        <v>20</v>
      </c>
      <c r="L331" s="6">
        <v>39</v>
      </c>
      <c r="M331" s="2">
        <v>0.5</v>
      </c>
      <c r="N331" s="6" t="s">
        <v>58</v>
      </c>
      <c r="O331" s="2" t="s">
        <v>27</v>
      </c>
      <c r="P331" s="8">
        <v>11000</v>
      </c>
    </row>
    <row r="332" spans="1:16" x14ac:dyDescent="0.3">
      <c r="A332" s="16"/>
      <c r="B332" s="1">
        <v>331</v>
      </c>
      <c r="C332" s="1" t="s">
        <v>179</v>
      </c>
      <c r="D332" s="1">
        <v>54662097</v>
      </c>
      <c r="E332" s="1" t="s">
        <v>353</v>
      </c>
      <c r="F332" s="1" t="s">
        <v>354</v>
      </c>
      <c r="G332" s="1" t="s">
        <v>17</v>
      </c>
      <c r="H332" s="1" t="s">
        <v>25</v>
      </c>
      <c r="I332" s="1" t="s">
        <v>184</v>
      </c>
      <c r="J332" s="1" t="s">
        <v>1015</v>
      </c>
      <c r="K332" s="2" t="s">
        <v>1015</v>
      </c>
      <c r="L332" s="6">
        <v>48</v>
      </c>
      <c r="M332" s="2">
        <v>0.37</v>
      </c>
      <c r="N332" s="6" t="s">
        <v>21</v>
      </c>
      <c r="O332" s="2" t="s">
        <v>22</v>
      </c>
      <c r="P332" s="8">
        <v>8000</v>
      </c>
    </row>
    <row r="333" spans="1:16" x14ac:dyDescent="0.3">
      <c r="A333" s="16"/>
      <c r="B333" s="1">
        <v>332</v>
      </c>
      <c r="C333" s="1" t="s">
        <v>179</v>
      </c>
      <c r="D333" s="1">
        <v>12164382</v>
      </c>
      <c r="E333" s="1" t="s">
        <v>355</v>
      </c>
      <c r="F333" s="1" t="s">
        <v>356</v>
      </c>
      <c r="G333" s="1" t="s">
        <v>17</v>
      </c>
      <c r="H333" s="1" t="s">
        <v>25</v>
      </c>
      <c r="I333" s="1" t="s">
        <v>216</v>
      </c>
      <c r="J333" s="1" t="s">
        <v>20</v>
      </c>
      <c r="K333" s="2" t="s">
        <v>20</v>
      </c>
      <c r="L333" s="6">
        <v>80</v>
      </c>
      <c r="M333" s="2">
        <v>1.55</v>
      </c>
      <c r="N333" s="6" t="s">
        <v>21</v>
      </c>
      <c r="O333" s="2" t="s">
        <v>41</v>
      </c>
      <c r="P333" s="8">
        <v>51000</v>
      </c>
    </row>
    <row r="334" spans="1:16" x14ac:dyDescent="0.3">
      <c r="A334" s="16"/>
      <c r="B334" s="1">
        <v>333</v>
      </c>
      <c r="C334" s="1" t="s">
        <v>179</v>
      </c>
      <c r="D334" s="1">
        <v>55603949</v>
      </c>
      <c r="E334" s="1" t="s">
        <v>357</v>
      </c>
      <c r="F334" s="1" t="s">
        <v>358</v>
      </c>
      <c r="G334" s="1" t="s">
        <v>17</v>
      </c>
      <c r="H334" s="1" t="s">
        <v>18</v>
      </c>
      <c r="I334" s="1" t="s">
        <v>184</v>
      </c>
      <c r="J334" s="1" t="s">
        <v>1015</v>
      </c>
      <c r="K334" s="2" t="s">
        <v>1015</v>
      </c>
      <c r="L334" s="6">
        <v>35</v>
      </c>
      <c r="M334" s="2">
        <v>7.8</v>
      </c>
      <c r="N334" s="6" t="s">
        <v>21</v>
      </c>
      <c r="O334" s="2" t="s">
        <v>41</v>
      </c>
      <c r="P334" s="8">
        <v>316000</v>
      </c>
    </row>
    <row r="335" spans="1:16" x14ac:dyDescent="0.3">
      <c r="A335" s="16"/>
      <c r="B335" s="1">
        <v>334</v>
      </c>
      <c r="C335" s="1" t="s">
        <v>179</v>
      </c>
      <c r="D335" s="1">
        <v>25086617</v>
      </c>
      <c r="E335" s="1" t="s">
        <v>1101</v>
      </c>
      <c r="F335" s="1" t="s">
        <v>1261</v>
      </c>
      <c r="G335" s="1" t="s">
        <v>17</v>
      </c>
      <c r="H335" s="1" t="s">
        <v>18</v>
      </c>
      <c r="I335" s="1" t="s">
        <v>19</v>
      </c>
      <c r="J335" s="1" t="s">
        <v>20</v>
      </c>
      <c r="K335" s="2" t="s">
        <v>20</v>
      </c>
      <c r="L335" s="6">
        <v>84</v>
      </c>
      <c r="M335" s="2">
        <v>3.49</v>
      </c>
      <c r="N335" s="6" t="s">
        <v>21</v>
      </c>
      <c r="O335" s="2" t="s">
        <v>74</v>
      </c>
      <c r="P335" s="8">
        <v>133000</v>
      </c>
    </row>
    <row r="336" spans="1:16" x14ac:dyDescent="0.3">
      <c r="A336" s="16"/>
      <c r="B336" s="1">
        <v>335</v>
      </c>
      <c r="C336" s="1" t="s">
        <v>179</v>
      </c>
      <c r="D336" s="1">
        <v>55546596</v>
      </c>
      <c r="E336" s="1" t="s">
        <v>359</v>
      </c>
      <c r="F336" s="1" t="s">
        <v>360</v>
      </c>
      <c r="G336" s="1" t="s">
        <v>17</v>
      </c>
      <c r="H336" s="1" t="s">
        <v>18</v>
      </c>
      <c r="I336" s="1" t="s">
        <v>19</v>
      </c>
      <c r="J336" s="1" t="s">
        <v>1015</v>
      </c>
      <c r="K336" s="2" t="s">
        <v>1015</v>
      </c>
      <c r="L336" s="6">
        <v>33</v>
      </c>
      <c r="M336" s="2">
        <v>1.02</v>
      </c>
      <c r="N336" s="6" t="s">
        <v>21</v>
      </c>
      <c r="O336" s="2" t="s">
        <v>361</v>
      </c>
      <c r="P336" s="8">
        <v>47000</v>
      </c>
    </row>
    <row r="337" spans="1:16" x14ac:dyDescent="0.3">
      <c r="A337" s="16"/>
      <c r="B337" s="1">
        <v>336</v>
      </c>
      <c r="C337" s="1" t="s">
        <v>179</v>
      </c>
      <c r="D337" s="1">
        <v>54093468</v>
      </c>
      <c r="E337" s="1" t="s">
        <v>362</v>
      </c>
      <c r="F337" s="1" t="s">
        <v>363</v>
      </c>
      <c r="G337" s="1" t="s">
        <v>17</v>
      </c>
      <c r="H337" s="1" t="s">
        <v>18</v>
      </c>
      <c r="I337" s="1" t="s">
        <v>19</v>
      </c>
      <c r="J337" s="1" t="s">
        <v>20</v>
      </c>
      <c r="K337" s="2" t="s">
        <v>20</v>
      </c>
      <c r="L337" s="6">
        <v>71</v>
      </c>
      <c r="M337" s="2">
        <v>4.51</v>
      </c>
      <c r="N337" s="6" t="s">
        <v>21</v>
      </c>
      <c r="O337" s="2" t="s">
        <v>27</v>
      </c>
      <c r="P337" s="8">
        <v>158000</v>
      </c>
    </row>
    <row r="338" spans="1:16" x14ac:dyDescent="0.3">
      <c r="A338" s="16"/>
      <c r="B338" s="1">
        <v>337</v>
      </c>
      <c r="C338" s="1" t="s">
        <v>179</v>
      </c>
      <c r="D338" s="1">
        <v>55135619</v>
      </c>
      <c r="E338" s="1" t="s">
        <v>1102</v>
      </c>
      <c r="F338" s="1" t="s">
        <v>893</v>
      </c>
      <c r="G338" s="1" t="s">
        <v>17</v>
      </c>
      <c r="H338" s="1" t="s">
        <v>18</v>
      </c>
      <c r="I338" s="1" t="s">
        <v>19</v>
      </c>
      <c r="J338" s="1" t="s">
        <v>20</v>
      </c>
      <c r="K338" s="2" t="s">
        <v>20</v>
      </c>
      <c r="L338" s="6">
        <v>38</v>
      </c>
      <c r="M338" s="2">
        <v>1.34</v>
      </c>
      <c r="N338" s="6" t="s">
        <v>21</v>
      </c>
      <c r="O338" s="2" t="s">
        <v>22</v>
      </c>
      <c r="P338" s="8">
        <v>29000</v>
      </c>
    </row>
    <row r="339" spans="1:16" x14ac:dyDescent="0.3">
      <c r="A339" s="16"/>
      <c r="B339" s="1">
        <v>338</v>
      </c>
      <c r="C339" s="1" t="s">
        <v>179</v>
      </c>
      <c r="D339" s="1">
        <v>55534478</v>
      </c>
      <c r="E339" s="1" t="s">
        <v>364</v>
      </c>
      <c r="F339" s="1" t="s">
        <v>365</v>
      </c>
      <c r="G339" s="1" t="s">
        <v>17</v>
      </c>
      <c r="H339" s="1" t="s">
        <v>18</v>
      </c>
      <c r="I339" s="1" t="s">
        <v>19</v>
      </c>
      <c r="J339" s="1" t="s">
        <v>20</v>
      </c>
      <c r="K339" s="2" t="s">
        <v>20</v>
      </c>
      <c r="L339" s="6">
        <v>65</v>
      </c>
      <c r="M339" s="2">
        <v>0.48</v>
      </c>
      <c r="N339" s="6" t="s">
        <v>21</v>
      </c>
      <c r="O339" s="2" t="s">
        <v>195</v>
      </c>
      <c r="P339" s="8">
        <v>25000</v>
      </c>
    </row>
    <row r="340" spans="1:16" x14ac:dyDescent="0.3">
      <c r="A340" s="16"/>
      <c r="B340" s="1">
        <v>339</v>
      </c>
      <c r="C340" s="1" t="s">
        <v>179</v>
      </c>
      <c r="D340" s="1">
        <v>55523902</v>
      </c>
      <c r="E340" s="1" t="s">
        <v>366</v>
      </c>
      <c r="F340" s="1" t="s">
        <v>367</v>
      </c>
      <c r="G340" s="1" t="s">
        <v>17</v>
      </c>
      <c r="H340" s="1" t="s">
        <v>18</v>
      </c>
      <c r="I340" s="1" t="s">
        <v>30</v>
      </c>
      <c r="J340" s="1" t="s">
        <v>1015</v>
      </c>
      <c r="K340" s="2" t="s">
        <v>1015</v>
      </c>
      <c r="L340" s="6">
        <v>30</v>
      </c>
      <c r="M340" s="2">
        <v>0</v>
      </c>
      <c r="N340" s="6" t="s">
        <v>31</v>
      </c>
      <c r="O340" s="2" t="s">
        <v>32</v>
      </c>
      <c r="P340" s="8">
        <v>0</v>
      </c>
    </row>
    <row r="341" spans="1:16" x14ac:dyDescent="0.3">
      <c r="A341" s="16"/>
      <c r="B341" s="1">
        <v>340</v>
      </c>
      <c r="C341" s="1" t="s">
        <v>179</v>
      </c>
      <c r="D341" s="1">
        <v>25063145</v>
      </c>
      <c r="E341" s="1" t="s">
        <v>368</v>
      </c>
      <c r="F341" s="1" t="s">
        <v>369</v>
      </c>
      <c r="G341" s="1" t="s">
        <v>17</v>
      </c>
      <c r="H341" s="1" t="s">
        <v>18</v>
      </c>
      <c r="I341" s="1" t="s">
        <v>30</v>
      </c>
      <c r="J341" s="1" t="s">
        <v>20</v>
      </c>
      <c r="K341" s="2" t="s">
        <v>20</v>
      </c>
      <c r="L341" s="6">
        <v>77</v>
      </c>
      <c r="M341" s="2">
        <v>0</v>
      </c>
      <c r="N341" s="6" t="s">
        <v>31</v>
      </c>
      <c r="O341" s="2" t="s">
        <v>32</v>
      </c>
      <c r="P341" s="8">
        <v>0</v>
      </c>
    </row>
    <row r="342" spans="1:16" x14ac:dyDescent="0.3">
      <c r="A342" s="16"/>
      <c r="B342" s="1">
        <v>341</v>
      </c>
      <c r="C342" s="1" t="s">
        <v>179</v>
      </c>
      <c r="D342" s="1">
        <v>1950680817</v>
      </c>
      <c r="E342" s="1" t="s">
        <v>1032</v>
      </c>
      <c r="F342" s="1" t="s">
        <v>998</v>
      </c>
      <c r="G342" s="1" t="s">
        <v>17</v>
      </c>
      <c r="H342" s="1" t="s">
        <v>18</v>
      </c>
      <c r="I342" s="1" t="s">
        <v>30</v>
      </c>
      <c r="J342" s="1" t="s">
        <v>20</v>
      </c>
      <c r="K342" s="2" t="s">
        <v>20</v>
      </c>
      <c r="L342" s="6">
        <v>73</v>
      </c>
      <c r="M342" s="2">
        <v>0</v>
      </c>
      <c r="N342" s="6" t="s">
        <v>31</v>
      </c>
      <c r="O342" s="2" t="s">
        <v>32</v>
      </c>
      <c r="P342" s="8">
        <v>0</v>
      </c>
    </row>
    <row r="343" spans="1:16" x14ac:dyDescent="0.3">
      <c r="A343" s="16"/>
      <c r="B343" s="1">
        <v>342</v>
      </c>
      <c r="C343" s="1" t="s">
        <v>179</v>
      </c>
      <c r="D343" s="1">
        <v>55161718</v>
      </c>
      <c r="E343" s="1" t="s">
        <v>370</v>
      </c>
      <c r="F343" s="1" t="s">
        <v>371</v>
      </c>
      <c r="G343" s="1" t="s">
        <v>17</v>
      </c>
      <c r="H343" s="1" t="s">
        <v>18</v>
      </c>
      <c r="I343" s="1" t="s">
        <v>30</v>
      </c>
      <c r="J343" s="1" t="s">
        <v>1015</v>
      </c>
      <c r="K343" s="2" t="s">
        <v>1015</v>
      </c>
      <c r="L343" s="6">
        <v>50</v>
      </c>
      <c r="M343" s="2">
        <v>0</v>
      </c>
      <c r="N343" s="6" t="s">
        <v>31</v>
      </c>
      <c r="O343" s="2" t="s">
        <v>32</v>
      </c>
      <c r="P343" s="8">
        <v>0</v>
      </c>
    </row>
    <row r="344" spans="1:16" x14ac:dyDescent="0.3">
      <c r="A344" s="16"/>
      <c r="B344" s="1">
        <v>343</v>
      </c>
      <c r="C344" s="1" t="s">
        <v>179</v>
      </c>
      <c r="D344" s="1">
        <v>55153938</v>
      </c>
      <c r="E344" s="1" t="s">
        <v>372</v>
      </c>
      <c r="F344" s="1" t="s">
        <v>373</v>
      </c>
      <c r="G344" s="1" t="s">
        <v>17</v>
      </c>
      <c r="H344" s="1" t="s">
        <v>18</v>
      </c>
      <c r="I344" s="1" t="s">
        <v>26</v>
      </c>
      <c r="J344" s="1" t="s">
        <v>20</v>
      </c>
      <c r="K344" s="2" t="s">
        <v>20</v>
      </c>
      <c r="L344" s="6">
        <v>53</v>
      </c>
      <c r="M344" s="2">
        <v>1.1599999999999999</v>
      </c>
      <c r="N344" s="6" t="s">
        <v>21</v>
      </c>
      <c r="O344" s="2" t="s">
        <v>22</v>
      </c>
      <c r="P344" s="8">
        <v>69000</v>
      </c>
    </row>
    <row r="345" spans="1:16" x14ac:dyDescent="0.3">
      <c r="A345" s="16"/>
      <c r="B345" s="1">
        <v>344</v>
      </c>
      <c r="C345" s="1" t="s">
        <v>179</v>
      </c>
      <c r="D345" s="1">
        <v>55535963</v>
      </c>
      <c r="E345" s="1" t="s">
        <v>374</v>
      </c>
      <c r="F345" s="1" t="s">
        <v>375</v>
      </c>
      <c r="G345" s="1" t="s">
        <v>17</v>
      </c>
      <c r="H345" s="1" t="s">
        <v>18</v>
      </c>
      <c r="I345" s="1" t="s">
        <v>19</v>
      </c>
      <c r="J345" s="1" t="s">
        <v>20</v>
      </c>
      <c r="K345" s="2" t="s">
        <v>20</v>
      </c>
      <c r="L345" s="6">
        <v>70</v>
      </c>
      <c r="M345" s="2">
        <v>0.97</v>
      </c>
      <c r="N345" s="6" t="s">
        <v>21</v>
      </c>
      <c r="O345" s="2" t="s">
        <v>27</v>
      </c>
      <c r="P345" s="8">
        <v>33000</v>
      </c>
    </row>
    <row r="346" spans="1:16" x14ac:dyDescent="0.3">
      <c r="A346" s="16"/>
      <c r="B346" s="1">
        <v>345</v>
      </c>
      <c r="C346" s="1" t="s">
        <v>179</v>
      </c>
      <c r="D346" s="1">
        <v>55577797</v>
      </c>
      <c r="E346" s="1" t="s">
        <v>1103</v>
      </c>
      <c r="F346" s="1" t="s">
        <v>376</v>
      </c>
      <c r="G346" s="1" t="s">
        <v>88</v>
      </c>
      <c r="H346" s="1" t="s">
        <v>18</v>
      </c>
      <c r="I346" s="1" t="s">
        <v>30</v>
      </c>
      <c r="J346" s="1" t="s">
        <v>20</v>
      </c>
      <c r="K346" s="2" t="s">
        <v>20</v>
      </c>
      <c r="L346" s="6">
        <v>73</v>
      </c>
      <c r="M346" s="2">
        <v>0</v>
      </c>
      <c r="N346" s="6" t="s">
        <v>31</v>
      </c>
      <c r="O346" s="2" t="s">
        <v>32</v>
      </c>
      <c r="P346" s="8">
        <v>0</v>
      </c>
    </row>
    <row r="347" spans="1:16" x14ac:dyDescent="0.3">
      <c r="A347" s="16"/>
      <c r="B347" s="1">
        <v>346</v>
      </c>
      <c r="C347" s="1" t="s">
        <v>179</v>
      </c>
      <c r="D347" s="1">
        <v>55469212</v>
      </c>
      <c r="E347" s="1" t="s">
        <v>377</v>
      </c>
      <c r="F347" s="1" t="s">
        <v>378</v>
      </c>
      <c r="G347" s="1" t="s">
        <v>17</v>
      </c>
      <c r="H347" s="1" t="s">
        <v>18</v>
      </c>
      <c r="I347" s="1" t="s">
        <v>30</v>
      </c>
      <c r="J347" s="1" t="s">
        <v>20</v>
      </c>
      <c r="K347" s="2" t="s">
        <v>20</v>
      </c>
      <c r="L347" s="6">
        <v>28</v>
      </c>
      <c r="M347" s="2">
        <v>0</v>
      </c>
      <c r="N347" s="6" t="s">
        <v>31</v>
      </c>
      <c r="O347" s="2" t="s">
        <v>32</v>
      </c>
      <c r="P347" s="8">
        <v>0</v>
      </c>
    </row>
    <row r="348" spans="1:16" x14ac:dyDescent="0.3">
      <c r="A348" s="16"/>
      <c r="B348" s="1">
        <v>347</v>
      </c>
      <c r="C348" s="1" t="s">
        <v>179</v>
      </c>
      <c r="D348" s="1">
        <v>55129729</v>
      </c>
      <c r="E348" s="1" t="s">
        <v>379</v>
      </c>
      <c r="F348" s="1" t="s">
        <v>380</v>
      </c>
      <c r="G348" s="1" t="s">
        <v>17</v>
      </c>
      <c r="H348" s="1" t="s">
        <v>18</v>
      </c>
      <c r="I348" s="1" t="s">
        <v>19</v>
      </c>
      <c r="J348" s="1" t="s">
        <v>1015</v>
      </c>
      <c r="K348" s="2" t="s">
        <v>1015</v>
      </c>
      <c r="L348" s="6">
        <v>35</v>
      </c>
      <c r="M348" s="2">
        <v>3.45</v>
      </c>
      <c r="N348" s="6" t="s">
        <v>21</v>
      </c>
      <c r="O348" s="2" t="s">
        <v>74</v>
      </c>
      <c r="P348" s="8">
        <v>300000</v>
      </c>
    </row>
    <row r="349" spans="1:16" x14ac:dyDescent="0.3">
      <c r="A349" s="16"/>
      <c r="B349" s="1">
        <v>348</v>
      </c>
      <c r="C349" s="1" t="s">
        <v>179</v>
      </c>
      <c r="D349" s="1">
        <v>54120480</v>
      </c>
      <c r="E349" s="1" t="s">
        <v>381</v>
      </c>
      <c r="F349" s="1" t="s">
        <v>382</v>
      </c>
      <c r="G349" s="1" t="s">
        <v>17</v>
      </c>
      <c r="H349" s="1" t="s">
        <v>18</v>
      </c>
      <c r="I349" s="1" t="s">
        <v>19</v>
      </c>
      <c r="J349" s="1" t="s">
        <v>20</v>
      </c>
      <c r="K349" s="2" t="s">
        <v>20</v>
      </c>
      <c r="L349" s="6">
        <v>27</v>
      </c>
      <c r="M349" s="2">
        <v>4.8099999999999996</v>
      </c>
      <c r="N349" s="6" t="s">
        <v>21</v>
      </c>
      <c r="O349" s="2" t="s">
        <v>41</v>
      </c>
      <c r="P349" s="8">
        <v>163000</v>
      </c>
    </row>
    <row r="350" spans="1:16" x14ac:dyDescent="0.3">
      <c r="A350" s="16"/>
      <c r="B350" s="1">
        <v>349</v>
      </c>
      <c r="C350" s="1" t="s">
        <v>179</v>
      </c>
      <c r="D350" s="1">
        <v>54113486</v>
      </c>
      <c r="E350" s="1" t="s">
        <v>383</v>
      </c>
      <c r="F350" s="1" t="s">
        <v>384</v>
      </c>
      <c r="G350" s="1" t="s">
        <v>17</v>
      </c>
      <c r="H350" s="1" t="s">
        <v>18</v>
      </c>
      <c r="I350" s="1" t="s">
        <v>30</v>
      </c>
      <c r="J350" s="1" t="s">
        <v>20</v>
      </c>
      <c r="K350" s="2" t="s">
        <v>20</v>
      </c>
      <c r="L350" s="6">
        <v>69</v>
      </c>
      <c r="M350" s="2">
        <v>0</v>
      </c>
      <c r="N350" s="6" t="s">
        <v>31</v>
      </c>
      <c r="O350" s="2" t="s">
        <v>32</v>
      </c>
      <c r="P350" s="8">
        <v>0</v>
      </c>
    </row>
    <row r="351" spans="1:16" x14ac:dyDescent="0.3">
      <c r="A351" s="16"/>
      <c r="B351" s="1">
        <v>350</v>
      </c>
      <c r="C351" s="1" t="s">
        <v>179</v>
      </c>
      <c r="D351" s="1">
        <v>811301868</v>
      </c>
      <c r="E351" s="1" t="s">
        <v>1104</v>
      </c>
      <c r="F351" s="1" t="s">
        <v>682</v>
      </c>
      <c r="G351" s="1" t="s">
        <v>17</v>
      </c>
      <c r="H351" s="1" t="s">
        <v>18</v>
      </c>
      <c r="I351" s="1" t="s">
        <v>30</v>
      </c>
      <c r="J351" s="1" t="s">
        <v>20</v>
      </c>
      <c r="K351" s="2" t="s">
        <v>20</v>
      </c>
      <c r="L351" s="6">
        <v>57</v>
      </c>
      <c r="M351" s="2">
        <v>0</v>
      </c>
      <c r="N351" s="6" t="s">
        <v>31</v>
      </c>
      <c r="O351" s="2" t="s">
        <v>32</v>
      </c>
      <c r="P351" s="8">
        <v>0</v>
      </c>
    </row>
    <row r="352" spans="1:16" x14ac:dyDescent="0.3">
      <c r="A352" s="16"/>
      <c r="B352" s="1">
        <v>351</v>
      </c>
      <c r="C352" s="1" t="s">
        <v>179</v>
      </c>
      <c r="D352" s="1">
        <v>811304005</v>
      </c>
      <c r="E352" s="1" t="s">
        <v>1105</v>
      </c>
      <c r="F352" s="1" t="s">
        <v>1262</v>
      </c>
      <c r="G352" s="1" t="s">
        <v>17</v>
      </c>
      <c r="H352" s="1" t="s">
        <v>18</v>
      </c>
      <c r="I352" s="1" t="s">
        <v>30</v>
      </c>
      <c r="J352" s="1" t="s">
        <v>20</v>
      </c>
      <c r="K352" s="2" t="s">
        <v>20</v>
      </c>
      <c r="L352" s="6">
        <v>80</v>
      </c>
      <c r="M352" s="2">
        <v>0</v>
      </c>
      <c r="N352" s="6" t="s">
        <v>31</v>
      </c>
      <c r="O352" s="2" t="s">
        <v>32</v>
      </c>
      <c r="P352" s="8">
        <v>0</v>
      </c>
    </row>
    <row r="353" spans="1:16" x14ac:dyDescent="0.3">
      <c r="A353" s="16"/>
      <c r="B353" s="1">
        <v>352</v>
      </c>
      <c r="C353" s="1" t="s">
        <v>179</v>
      </c>
      <c r="D353" s="1">
        <v>811302889</v>
      </c>
      <c r="E353" s="1" t="s">
        <v>385</v>
      </c>
      <c r="F353" s="1" t="s">
        <v>386</v>
      </c>
      <c r="G353" s="1" t="s">
        <v>17</v>
      </c>
      <c r="H353" s="1" t="s">
        <v>18</v>
      </c>
      <c r="I353" s="1" t="s">
        <v>30</v>
      </c>
      <c r="J353" s="1" t="s">
        <v>20</v>
      </c>
      <c r="K353" s="2" t="s">
        <v>20</v>
      </c>
      <c r="L353" s="6">
        <v>56</v>
      </c>
      <c r="M353" s="2">
        <v>0</v>
      </c>
      <c r="N353" s="6" t="s">
        <v>31</v>
      </c>
      <c r="O353" s="2" t="s">
        <v>32</v>
      </c>
      <c r="P353" s="8">
        <v>0</v>
      </c>
    </row>
    <row r="354" spans="1:16" x14ac:dyDescent="0.3">
      <c r="A354" s="16"/>
      <c r="B354" s="1">
        <v>353</v>
      </c>
      <c r="C354" s="1" t="s">
        <v>179</v>
      </c>
      <c r="D354" s="1">
        <v>55127440</v>
      </c>
      <c r="E354" s="1" t="s">
        <v>1106</v>
      </c>
      <c r="F354" s="1" t="s">
        <v>1263</v>
      </c>
      <c r="G354" s="1" t="s">
        <v>17</v>
      </c>
      <c r="H354" s="1" t="s">
        <v>18</v>
      </c>
      <c r="I354" s="1" t="s">
        <v>19</v>
      </c>
      <c r="J354" s="1" t="s">
        <v>20</v>
      </c>
      <c r="K354" s="2" t="s">
        <v>20</v>
      </c>
      <c r="L354" s="6">
        <v>49</v>
      </c>
      <c r="M354" s="2">
        <v>4.16</v>
      </c>
      <c r="N354" s="6" t="s">
        <v>21</v>
      </c>
      <c r="O354" s="2" t="s">
        <v>55</v>
      </c>
      <c r="P354" s="8">
        <v>77000</v>
      </c>
    </row>
    <row r="355" spans="1:16" x14ac:dyDescent="0.3">
      <c r="A355" s="16"/>
      <c r="B355" s="1">
        <v>354</v>
      </c>
      <c r="C355" s="1" t="s">
        <v>179</v>
      </c>
      <c r="D355" s="1">
        <v>55107804</v>
      </c>
      <c r="E355" s="1" t="s">
        <v>387</v>
      </c>
      <c r="F355" s="1" t="s">
        <v>388</v>
      </c>
      <c r="G355" s="1" t="s">
        <v>17</v>
      </c>
      <c r="H355" s="1" t="s">
        <v>25</v>
      </c>
      <c r="I355" s="1" t="s">
        <v>26</v>
      </c>
      <c r="J355" s="1" t="s">
        <v>20</v>
      </c>
      <c r="K355" s="2" t="s">
        <v>20</v>
      </c>
      <c r="L355" s="6">
        <v>85</v>
      </c>
      <c r="M355" s="2">
        <v>7.19</v>
      </c>
      <c r="N355" s="6" t="s">
        <v>21</v>
      </c>
      <c r="O355" s="2" t="s">
        <v>27</v>
      </c>
      <c r="P355" s="8">
        <v>242000</v>
      </c>
    </row>
    <row r="356" spans="1:16" x14ac:dyDescent="0.3">
      <c r="A356" s="16"/>
      <c r="B356" s="1">
        <v>355</v>
      </c>
      <c r="C356" s="1" t="s">
        <v>179</v>
      </c>
      <c r="D356" s="1">
        <v>55571672</v>
      </c>
      <c r="E356" s="1" t="s">
        <v>389</v>
      </c>
      <c r="F356" s="1" t="s">
        <v>260</v>
      </c>
      <c r="G356" s="1" t="s">
        <v>17</v>
      </c>
      <c r="H356" s="1" t="s">
        <v>18</v>
      </c>
      <c r="I356" s="1" t="s">
        <v>30</v>
      </c>
      <c r="J356" s="1" t="s">
        <v>20</v>
      </c>
      <c r="K356" s="2" t="s">
        <v>20</v>
      </c>
      <c r="L356" s="6">
        <v>40</v>
      </c>
      <c r="M356" s="2">
        <v>0</v>
      </c>
      <c r="N356" s="6" t="s">
        <v>31</v>
      </c>
      <c r="O356" s="2" t="s">
        <v>32</v>
      </c>
      <c r="P356" s="8">
        <v>0</v>
      </c>
    </row>
    <row r="357" spans="1:16" x14ac:dyDescent="0.3">
      <c r="A357" s="16"/>
      <c r="B357" s="1">
        <v>356</v>
      </c>
      <c r="C357" s="1" t="s">
        <v>179</v>
      </c>
      <c r="D357" s="1">
        <v>28280169</v>
      </c>
      <c r="E357" s="1" t="s">
        <v>390</v>
      </c>
      <c r="F357" s="1" t="s">
        <v>391</v>
      </c>
      <c r="G357" s="1" t="s">
        <v>17</v>
      </c>
      <c r="H357" s="1" t="s">
        <v>18</v>
      </c>
      <c r="I357" s="1" t="s">
        <v>30</v>
      </c>
      <c r="J357" s="1" t="s">
        <v>20</v>
      </c>
      <c r="K357" s="2" t="s">
        <v>20</v>
      </c>
      <c r="L357" s="6">
        <v>57</v>
      </c>
      <c r="M357" s="2">
        <v>0</v>
      </c>
      <c r="N357" s="6" t="s">
        <v>31</v>
      </c>
      <c r="O357" s="2" t="s">
        <v>32</v>
      </c>
      <c r="P357" s="8">
        <v>0</v>
      </c>
    </row>
    <row r="358" spans="1:16" x14ac:dyDescent="0.3">
      <c r="A358" s="16"/>
      <c r="B358" s="1">
        <v>357</v>
      </c>
      <c r="C358" s="1" t="s">
        <v>179</v>
      </c>
      <c r="D358" s="1">
        <v>1950669322</v>
      </c>
      <c r="E358" s="1" t="s">
        <v>1034</v>
      </c>
      <c r="F358" s="1" t="s">
        <v>833</v>
      </c>
      <c r="G358" s="1" t="s">
        <v>17</v>
      </c>
      <c r="H358" s="1" t="s">
        <v>18</v>
      </c>
      <c r="I358" s="1" t="s">
        <v>30</v>
      </c>
      <c r="J358" s="1" t="s">
        <v>20</v>
      </c>
      <c r="K358" s="2" t="s">
        <v>20</v>
      </c>
      <c r="L358" s="6">
        <v>85</v>
      </c>
      <c r="M358" s="2">
        <v>0</v>
      </c>
      <c r="N358" s="6" t="s">
        <v>31</v>
      </c>
      <c r="O358" s="2" t="s">
        <v>32</v>
      </c>
      <c r="P358" s="8">
        <v>0</v>
      </c>
    </row>
    <row r="359" spans="1:16" x14ac:dyDescent="0.3">
      <c r="A359" s="16"/>
      <c r="B359" s="1">
        <v>358</v>
      </c>
      <c r="C359" s="1" t="s">
        <v>179</v>
      </c>
      <c r="D359" s="1">
        <v>1950669006</v>
      </c>
      <c r="E359" s="1" t="s">
        <v>1035</v>
      </c>
      <c r="F359" s="1" t="s">
        <v>910</v>
      </c>
      <c r="G359" s="1" t="s">
        <v>17</v>
      </c>
      <c r="H359" s="1" t="s">
        <v>25</v>
      </c>
      <c r="I359" s="1" t="s">
        <v>216</v>
      </c>
      <c r="J359" s="1" t="s">
        <v>20</v>
      </c>
      <c r="K359" s="2" t="s">
        <v>1015</v>
      </c>
      <c r="L359" s="6">
        <v>76</v>
      </c>
      <c r="M359" s="2">
        <v>3.46</v>
      </c>
      <c r="N359" s="6" t="s">
        <v>58</v>
      </c>
      <c r="O359" s="2" t="s">
        <v>22</v>
      </c>
      <c r="P359" s="8">
        <v>128000</v>
      </c>
    </row>
    <row r="360" spans="1:16" x14ac:dyDescent="0.3">
      <c r="A360" s="16"/>
      <c r="B360" s="1">
        <v>359</v>
      </c>
      <c r="C360" s="1" t="s">
        <v>179</v>
      </c>
      <c r="D360" s="1">
        <v>55574731</v>
      </c>
      <c r="E360" s="1" t="s">
        <v>392</v>
      </c>
      <c r="F360" s="1" t="s">
        <v>393</v>
      </c>
      <c r="G360" s="1" t="s">
        <v>17</v>
      </c>
      <c r="H360" s="1" t="s">
        <v>18</v>
      </c>
      <c r="I360" s="1" t="s">
        <v>19</v>
      </c>
      <c r="J360" s="1" t="s">
        <v>1015</v>
      </c>
      <c r="K360" s="2" t="s">
        <v>1015</v>
      </c>
      <c r="L360" s="6">
        <v>81</v>
      </c>
      <c r="M360" s="2">
        <v>1.63</v>
      </c>
      <c r="N360" s="6" t="s">
        <v>36</v>
      </c>
      <c r="O360" s="2" t="s">
        <v>22</v>
      </c>
      <c r="P360" s="8">
        <v>88000</v>
      </c>
    </row>
    <row r="361" spans="1:16" x14ac:dyDescent="0.3">
      <c r="A361" s="16"/>
      <c r="B361" s="1">
        <v>360</v>
      </c>
      <c r="C361" s="1" t="s">
        <v>179</v>
      </c>
      <c r="D361" s="1">
        <v>1950680623</v>
      </c>
      <c r="E361" s="1" t="s">
        <v>1107</v>
      </c>
      <c r="F361" s="1" t="s">
        <v>1229</v>
      </c>
      <c r="G361" s="1" t="s">
        <v>17</v>
      </c>
      <c r="H361" s="1" t="s">
        <v>18</v>
      </c>
      <c r="I361" s="1" t="s">
        <v>30</v>
      </c>
      <c r="J361" s="1" t="s">
        <v>20</v>
      </c>
      <c r="K361" s="2" t="s">
        <v>20</v>
      </c>
      <c r="L361" s="6">
        <v>30</v>
      </c>
      <c r="M361" s="2">
        <v>0</v>
      </c>
      <c r="N361" s="6" t="s">
        <v>31</v>
      </c>
      <c r="O361" s="2" t="s">
        <v>32</v>
      </c>
      <c r="P361" s="8">
        <v>0</v>
      </c>
    </row>
    <row r="362" spans="1:16" x14ac:dyDescent="0.3">
      <c r="A362" s="16"/>
      <c r="B362" s="1">
        <v>361</v>
      </c>
      <c r="C362" s="1" t="s">
        <v>179</v>
      </c>
      <c r="D362" s="1">
        <v>28284118</v>
      </c>
      <c r="E362" s="1" t="s">
        <v>394</v>
      </c>
      <c r="F362" s="1" t="s">
        <v>395</v>
      </c>
      <c r="G362" s="1" t="s">
        <v>17</v>
      </c>
      <c r="H362" s="1" t="s">
        <v>18</v>
      </c>
      <c r="I362" s="1" t="s">
        <v>19</v>
      </c>
      <c r="J362" s="1" t="s">
        <v>20</v>
      </c>
      <c r="K362" s="2" t="s">
        <v>20</v>
      </c>
      <c r="L362" s="6">
        <v>83</v>
      </c>
      <c r="M362" s="2">
        <v>0.41</v>
      </c>
      <c r="N362" s="6" t="s">
        <v>21</v>
      </c>
      <c r="O362" s="2" t="s">
        <v>59</v>
      </c>
      <c r="P362" s="8">
        <v>19000</v>
      </c>
    </row>
    <row r="363" spans="1:16" x14ac:dyDescent="0.3">
      <c r="A363" s="16"/>
      <c r="B363" s="1">
        <v>362</v>
      </c>
      <c r="C363" s="1" t="s">
        <v>179</v>
      </c>
      <c r="D363" s="1">
        <v>55154428</v>
      </c>
      <c r="E363" s="1" t="s">
        <v>396</v>
      </c>
      <c r="F363" s="1" t="s">
        <v>397</v>
      </c>
      <c r="G363" s="1" t="s">
        <v>17</v>
      </c>
      <c r="H363" s="1" t="s">
        <v>25</v>
      </c>
      <c r="I363" s="1" t="s">
        <v>26</v>
      </c>
      <c r="J363" s="1" t="s">
        <v>1015</v>
      </c>
      <c r="K363" s="2" t="s">
        <v>1015</v>
      </c>
      <c r="L363" s="6">
        <v>35</v>
      </c>
      <c r="M363" s="2">
        <v>1.78</v>
      </c>
      <c r="N363" s="6" t="s">
        <v>21</v>
      </c>
      <c r="O363" s="2" t="s">
        <v>27</v>
      </c>
      <c r="P363" s="8">
        <v>43000</v>
      </c>
    </row>
    <row r="364" spans="1:16" x14ac:dyDescent="0.3">
      <c r="A364" s="16"/>
      <c r="B364" s="1">
        <v>363</v>
      </c>
      <c r="C364" s="1" t="s">
        <v>179</v>
      </c>
      <c r="D364" s="1">
        <v>55462211</v>
      </c>
      <c r="E364" s="1" t="s">
        <v>1108</v>
      </c>
      <c r="F364" s="1" t="s">
        <v>398</v>
      </c>
      <c r="G364" s="1" t="s">
        <v>88</v>
      </c>
      <c r="H364" s="1" t="s">
        <v>18</v>
      </c>
      <c r="I364" s="1" t="s">
        <v>120</v>
      </c>
      <c r="J364" s="1" t="s">
        <v>20</v>
      </c>
      <c r="K364" s="2" t="s">
        <v>20</v>
      </c>
      <c r="L364" s="6">
        <v>72</v>
      </c>
      <c r="M364" s="2">
        <v>1.92</v>
      </c>
      <c r="N364" s="6" t="s">
        <v>21</v>
      </c>
      <c r="O364" s="2" t="s">
        <v>55</v>
      </c>
      <c r="P364" s="8">
        <v>54000</v>
      </c>
    </row>
    <row r="365" spans="1:16" x14ac:dyDescent="0.3">
      <c r="A365" s="16"/>
      <c r="B365" s="1">
        <v>364</v>
      </c>
      <c r="C365" s="1" t="s">
        <v>179</v>
      </c>
      <c r="D365" s="1">
        <v>54672036</v>
      </c>
      <c r="E365" s="1" t="s">
        <v>399</v>
      </c>
      <c r="F365" s="1" t="s">
        <v>400</v>
      </c>
      <c r="G365" s="1" t="s">
        <v>17</v>
      </c>
      <c r="H365" s="1" t="s">
        <v>18</v>
      </c>
      <c r="I365" s="1" t="s">
        <v>30</v>
      </c>
      <c r="J365" s="1" t="s">
        <v>20</v>
      </c>
      <c r="K365" s="2" t="s">
        <v>20</v>
      </c>
      <c r="L365" s="6">
        <v>82</v>
      </c>
      <c r="M365" s="2">
        <v>0</v>
      </c>
      <c r="N365" s="6" t="s">
        <v>31</v>
      </c>
      <c r="O365" s="2" t="s">
        <v>32</v>
      </c>
      <c r="P365" s="8">
        <v>0</v>
      </c>
    </row>
    <row r="366" spans="1:16" x14ac:dyDescent="0.3">
      <c r="A366" s="16"/>
      <c r="B366" s="1">
        <v>365</v>
      </c>
      <c r="C366" s="1" t="s">
        <v>179</v>
      </c>
      <c r="D366" s="1">
        <v>55948630</v>
      </c>
      <c r="E366" s="1" t="s">
        <v>401</v>
      </c>
      <c r="F366" s="1" t="s">
        <v>72</v>
      </c>
      <c r="G366" s="1" t="s">
        <v>17</v>
      </c>
      <c r="H366" s="1" t="s">
        <v>18</v>
      </c>
      <c r="I366" s="1" t="s">
        <v>19</v>
      </c>
      <c r="J366" s="1" t="s">
        <v>20</v>
      </c>
      <c r="K366" s="2" t="s">
        <v>20</v>
      </c>
      <c r="L366" s="6">
        <v>34</v>
      </c>
      <c r="M366" s="2">
        <v>4.78</v>
      </c>
      <c r="N366" s="6" t="s">
        <v>21</v>
      </c>
      <c r="O366" s="2" t="s">
        <v>22</v>
      </c>
      <c r="P366" s="8">
        <v>119000</v>
      </c>
    </row>
    <row r="367" spans="1:16" x14ac:dyDescent="0.3">
      <c r="A367" s="16"/>
      <c r="B367" s="1">
        <v>366</v>
      </c>
      <c r="C367" s="1" t="s">
        <v>179</v>
      </c>
      <c r="D367" s="1">
        <v>55959230</v>
      </c>
      <c r="E367" s="1" t="s">
        <v>402</v>
      </c>
      <c r="F367" s="1" t="s">
        <v>287</v>
      </c>
      <c r="G367" s="1" t="s">
        <v>17</v>
      </c>
      <c r="H367" s="1" t="s">
        <v>18</v>
      </c>
      <c r="I367" s="1" t="s">
        <v>30</v>
      </c>
      <c r="J367" s="1" t="s">
        <v>1015</v>
      </c>
      <c r="K367" s="2" t="s">
        <v>1015</v>
      </c>
      <c r="L367" s="6">
        <v>75</v>
      </c>
      <c r="M367" s="2">
        <v>0</v>
      </c>
      <c r="N367" s="6" t="s">
        <v>31</v>
      </c>
      <c r="O367" s="2" t="s">
        <v>32</v>
      </c>
      <c r="P367" s="8">
        <v>0</v>
      </c>
    </row>
    <row r="368" spans="1:16" x14ac:dyDescent="0.3">
      <c r="A368" s="16"/>
      <c r="B368" s="1">
        <v>367</v>
      </c>
      <c r="C368" s="1" t="s">
        <v>179</v>
      </c>
      <c r="D368" s="1">
        <v>55533621</v>
      </c>
      <c r="E368" s="1" t="s">
        <v>403</v>
      </c>
      <c r="F368" s="1" t="s">
        <v>404</v>
      </c>
      <c r="G368" s="1" t="s">
        <v>17</v>
      </c>
      <c r="H368" s="1" t="s">
        <v>18</v>
      </c>
      <c r="I368" s="1" t="s">
        <v>19</v>
      </c>
      <c r="J368" s="1" t="s">
        <v>20</v>
      </c>
      <c r="K368" s="2" t="s">
        <v>20</v>
      </c>
      <c r="L368" s="6">
        <v>40</v>
      </c>
      <c r="M368" s="2">
        <v>1.28</v>
      </c>
      <c r="N368" s="6" t="s">
        <v>21</v>
      </c>
      <c r="O368" s="2" t="s">
        <v>27</v>
      </c>
      <c r="P368" s="8">
        <v>60000</v>
      </c>
    </row>
    <row r="369" spans="1:16" x14ac:dyDescent="0.3">
      <c r="A369" s="16"/>
      <c r="B369" s="1">
        <v>368</v>
      </c>
      <c r="C369" s="1" t="s">
        <v>179</v>
      </c>
      <c r="D369" s="1">
        <v>55162723</v>
      </c>
      <c r="E369" s="1" t="s">
        <v>405</v>
      </c>
      <c r="F369" s="1" t="s">
        <v>406</v>
      </c>
      <c r="G369" s="1" t="s">
        <v>17</v>
      </c>
      <c r="H369" s="1" t="s">
        <v>18</v>
      </c>
      <c r="I369" s="1" t="s">
        <v>30</v>
      </c>
      <c r="J369" s="1" t="s">
        <v>1015</v>
      </c>
      <c r="K369" s="2" t="s">
        <v>1015</v>
      </c>
      <c r="L369" s="6">
        <v>60</v>
      </c>
      <c r="M369" s="2">
        <v>0</v>
      </c>
      <c r="N369" s="6" t="s">
        <v>31</v>
      </c>
      <c r="O369" s="2" t="s">
        <v>32</v>
      </c>
      <c r="P369" s="8">
        <v>0</v>
      </c>
    </row>
    <row r="370" spans="1:16" x14ac:dyDescent="0.3">
      <c r="A370" s="16"/>
      <c r="B370" s="1">
        <v>369</v>
      </c>
      <c r="C370" s="1" t="s">
        <v>179</v>
      </c>
      <c r="D370" s="1">
        <v>55108349</v>
      </c>
      <c r="E370" s="1" t="s">
        <v>407</v>
      </c>
      <c r="F370" s="1" t="s">
        <v>1264</v>
      </c>
      <c r="G370" s="1" t="s">
        <v>17</v>
      </c>
      <c r="H370" s="1" t="s">
        <v>18</v>
      </c>
      <c r="I370" s="1" t="s">
        <v>19</v>
      </c>
      <c r="J370" s="1" t="s">
        <v>20</v>
      </c>
      <c r="K370" s="2" t="s">
        <v>20</v>
      </c>
      <c r="L370" s="6">
        <v>32</v>
      </c>
      <c r="M370" s="2">
        <v>1.94</v>
      </c>
      <c r="N370" s="6" t="s">
        <v>21</v>
      </c>
      <c r="O370" s="2" t="s">
        <v>22</v>
      </c>
      <c r="P370" s="8">
        <v>78000</v>
      </c>
    </row>
    <row r="371" spans="1:16" x14ac:dyDescent="0.3">
      <c r="A371" s="16"/>
      <c r="B371" s="1">
        <v>370</v>
      </c>
      <c r="C371" s="1" t="s">
        <v>179</v>
      </c>
      <c r="D371" s="1">
        <v>55463225</v>
      </c>
      <c r="E371" s="1" t="s">
        <v>408</v>
      </c>
      <c r="F371" s="1" t="s">
        <v>409</v>
      </c>
      <c r="G371" s="1" t="s">
        <v>17</v>
      </c>
      <c r="H371" s="1" t="s">
        <v>18</v>
      </c>
      <c r="I371" s="1" t="s">
        <v>19</v>
      </c>
      <c r="J371" s="1" t="s">
        <v>20</v>
      </c>
      <c r="K371" s="2" t="s">
        <v>20</v>
      </c>
      <c r="L371" s="6">
        <v>27</v>
      </c>
      <c r="M371" s="2">
        <v>1.78</v>
      </c>
      <c r="N371" s="6" t="s">
        <v>21</v>
      </c>
      <c r="O371" s="2" t="s">
        <v>195</v>
      </c>
      <c r="P371" s="8">
        <v>94000</v>
      </c>
    </row>
    <row r="372" spans="1:16" x14ac:dyDescent="0.3">
      <c r="A372" s="16"/>
      <c r="B372" s="1">
        <v>371</v>
      </c>
      <c r="C372" s="1" t="s">
        <v>179</v>
      </c>
      <c r="D372" s="1">
        <v>811347809</v>
      </c>
      <c r="E372" s="1" t="s">
        <v>410</v>
      </c>
      <c r="F372" s="1" t="s">
        <v>411</v>
      </c>
      <c r="G372" s="1" t="s">
        <v>17</v>
      </c>
      <c r="H372" s="1" t="s">
        <v>18</v>
      </c>
      <c r="I372" s="1" t="s">
        <v>30</v>
      </c>
      <c r="J372" s="1" t="s">
        <v>20</v>
      </c>
      <c r="K372" s="2" t="s">
        <v>20</v>
      </c>
      <c r="L372" s="6">
        <v>30</v>
      </c>
      <c r="M372" s="2">
        <v>0</v>
      </c>
      <c r="N372" s="6" t="s">
        <v>31</v>
      </c>
      <c r="O372" s="2" t="s">
        <v>32</v>
      </c>
      <c r="P372" s="8">
        <v>0</v>
      </c>
    </row>
    <row r="373" spans="1:16" x14ac:dyDescent="0.3">
      <c r="A373" s="16"/>
      <c r="B373" s="1">
        <v>372</v>
      </c>
      <c r="C373" s="1" t="s">
        <v>179</v>
      </c>
      <c r="D373" s="1">
        <v>1950668973</v>
      </c>
      <c r="E373" s="1" t="s">
        <v>1036</v>
      </c>
      <c r="F373" s="1" t="s">
        <v>1212</v>
      </c>
      <c r="G373" s="1" t="s">
        <v>17</v>
      </c>
      <c r="H373" s="1" t="s">
        <v>18</v>
      </c>
      <c r="I373" s="1" t="s">
        <v>30</v>
      </c>
      <c r="J373" s="1" t="s">
        <v>20</v>
      </c>
      <c r="K373" s="2" t="s">
        <v>20</v>
      </c>
      <c r="L373" s="6">
        <v>75</v>
      </c>
      <c r="M373" s="2">
        <v>0</v>
      </c>
      <c r="N373" s="6" t="s">
        <v>31</v>
      </c>
      <c r="O373" s="2" t="s">
        <v>32</v>
      </c>
      <c r="P373" s="8">
        <v>0</v>
      </c>
    </row>
    <row r="374" spans="1:16" x14ac:dyDescent="0.3">
      <c r="A374" s="16"/>
      <c r="B374" s="1">
        <v>373</v>
      </c>
      <c r="C374" s="1" t="s">
        <v>179</v>
      </c>
      <c r="D374" s="1">
        <v>811301992</v>
      </c>
      <c r="E374" s="1" t="s">
        <v>1109</v>
      </c>
      <c r="F374" s="1" t="s">
        <v>1239</v>
      </c>
      <c r="G374" s="1" t="s">
        <v>17</v>
      </c>
      <c r="H374" s="1" t="s">
        <v>18</v>
      </c>
      <c r="I374" s="1" t="s">
        <v>30</v>
      </c>
      <c r="J374" s="1" t="s">
        <v>20</v>
      </c>
      <c r="K374" s="2" t="s">
        <v>20</v>
      </c>
      <c r="L374" s="6">
        <v>31</v>
      </c>
      <c r="M374" s="2">
        <v>0</v>
      </c>
      <c r="N374" s="6" t="s">
        <v>31</v>
      </c>
      <c r="O374" s="2" t="s">
        <v>32</v>
      </c>
      <c r="P374" s="8">
        <v>0</v>
      </c>
    </row>
    <row r="375" spans="1:16" x14ac:dyDescent="0.3">
      <c r="A375" s="16"/>
      <c r="B375" s="1">
        <v>374</v>
      </c>
      <c r="C375" s="1" t="s">
        <v>179</v>
      </c>
      <c r="D375" s="1">
        <v>55541215</v>
      </c>
      <c r="E375" s="1" t="s">
        <v>1110</v>
      </c>
      <c r="F375" s="1" t="s">
        <v>412</v>
      </c>
      <c r="G375" s="1" t="s">
        <v>88</v>
      </c>
      <c r="H375" s="1" t="s">
        <v>18</v>
      </c>
      <c r="I375" s="1" t="s">
        <v>120</v>
      </c>
      <c r="J375" s="1" t="s">
        <v>20</v>
      </c>
      <c r="K375" s="2" t="s">
        <v>20</v>
      </c>
      <c r="L375" s="6">
        <v>74</v>
      </c>
      <c r="M375" s="2">
        <v>1.21</v>
      </c>
      <c r="N375" s="6" t="s">
        <v>21</v>
      </c>
      <c r="O375" s="2" t="s">
        <v>59</v>
      </c>
      <c r="P375" s="8">
        <v>28000</v>
      </c>
    </row>
    <row r="376" spans="1:16" x14ac:dyDescent="0.3">
      <c r="A376" s="16"/>
      <c r="B376" s="1">
        <v>375</v>
      </c>
      <c r="C376" s="1" t="s">
        <v>179</v>
      </c>
      <c r="D376" s="1">
        <v>55148163</v>
      </c>
      <c r="E376" s="1" t="s">
        <v>413</v>
      </c>
      <c r="F376" s="1" t="s">
        <v>414</v>
      </c>
      <c r="G376" s="1" t="s">
        <v>88</v>
      </c>
      <c r="H376" s="1" t="s">
        <v>18</v>
      </c>
      <c r="I376" s="1" t="s">
        <v>120</v>
      </c>
      <c r="J376" s="1" t="s">
        <v>20</v>
      </c>
      <c r="K376" s="2" t="s">
        <v>20</v>
      </c>
      <c r="L376" s="6">
        <v>75</v>
      </c>
      <c r="M376" s="2">
        <v>1.49</v>
      </c>
      <c r="N376" s="6" t="s">
        <v>21</v>
      </c>
      <c r="O376" s="2" t="s">
        <v>27</v>
      </c>
      <c r="P376" s="8">
        <v>46000</v>
      </c>
    </row>
    <row r="377" spans="1:16" x14ac:dyDescent="0.3">
      <c r="A377" s="16"/>
      <c r="B377" s="1">
        <v>376</v>
      </c>
      <c r="C377" s="1" t="s">
        <v>179</v>
      </c>
      <c r="D377" s="1">
        <v>1950680879</v>
      </c>
      <c r="E377" s="1" t="s">
        <v>1111</v>
      </c>
      <c r="F377" s="1" t="s">
        <v>1265</v>
      </c>
      <c r="G377" s="1" t="s">
        <v>17</v>
      </c>
      <c r="H377" s="1" t="s">
        <v>18</v>
      </c>
      <c r="I377" s="1" t="s">
        <v>30</v>
      </c>
      <c r="J377" s="1" t="s">
        <v>20</v>
      </c>
      <c r="K377" s="2" t="s">
        <v>20</v>
      </c>
      <c r="L377" s="6">
        <v>40</v>
      </c>
      <c r="M377" s="2">
        <v>0</v>
      </c>
      <c r="N377" s="6" t="s">
        <v>31</v>
      </c>
      <c r="O377" s="2" t="s">
        <v>32</v>
      </c>
      <c r="P377" s="8">
        <v>0</v>
      </c>
    </row>
    <row r="378" spans="1:16" x14ac:dyDescent="0.3">
      <c r="A378" s="16"/>
      <c r="B378" s="1">
        <v>377</v>
      </c>
      <c r="C378" s="1" t="s">
        <v>179</v>
      </c>
      <c r="D378" s="1">
        <v>55545652</v>
      </c>
      <c r="E378" s="1" t="s">
        <v>415</v>
      </c>
      <c r="F378" s="1" t="s">
        <v>416</v>
      </c>
      <c r="G378" s="1" t="s">
        <v>88</v>
      </c>
      <c r="H378" s="1" t="s">
        <v>25</v>
      </c>
      <c r="I378" s="1" t="s">
        <v>184</v>
      </c>
      <c r="J378" s="1" t="s">
        <v>20</v>
      </c>
      <c r="K378" s="2" t="s">
        <v>20</v>
      </c>
      <c r="L378" s="6">
        <v>68</v>
      </c>
      <c r="M378" s="2">
        <v>2.21</v>
      </c>
      <c r="N378" s="6" t="s">
        <v>21</v>
      </c>
      <c r="O378" s="2" t="s">
        <v>41</v>
      </c>
      <c r="P378" s="8">
        <v>78000</v>
      </c>
    </row>
    <row r="379" spans="1:16" x14ac:dyDescent="0.3">
      <c r="A379" s="16"/>
      <c r="B379" s="1">
        <v>378</v>
      </c>
      <c r="C379" s="1" t="s">
        <v>179</v>
      </c>
      <c r="D379" s="1">
        <v>54639318</v>
      </c>
      <c r="E379" s="1" t="s">
        <v>417</v>
      </c>
      <c r="F379" s="1" t="s">
        <v>418</v>
      </c>
      <c r="G379" s="1" t="s">
        <v>88</v>
      </c>
      <c r="H379" s="1" t="s">
        <v>18</v>
      </c>
      <c r="I379" s="1" t="s">
        <v>184</v>
      </c>
      <c r="J379" s="1" t="s">
        <v>20</v>
      </c>
      <c r="K379" s="2" t="s">
        <v>20</v>
      </c>
      <c r="L379" s="6">
        <v>28</v>
      </c>
      <c r="M379" s="2">
        <v>1.26</v>
      </c>
      <c r="N379" s="6" t="s">
        <v>21</v>
      </c>
      <c r="O379" s="2" t="s">
        <v>74</v>
      </c>
      <c r="P379" s="8">
        <v>45000</v>
      </c>
    </row>
    <row r="380" spans="1:16" x14ac:dyDescent="0.3">
      <c r="A380" s="16"/>
      <c r="B380" s="1">
        <v>379</v>
      </c>
      <c r="C380" s="1" t="s">
        <v>179</v>
      </c>
      <c r="D380" s="1">
        <v>1950680529</v>
      </c>
      <c r="E380" s="1" t="s">
        <v>1112</v>
      </c>
      <c r="F380" s="1" t="s">
        <v>1266</v>
      </c>
      <c r="G380" s="1" t="s">
        <v>17</v>
      </c>
      <c r="H380" s="1" t="s">
        <v>18</v>
      </c>
      <c r="I380" s="1" t="s">
        <v>30</v>
      </c>
      <c r="J380" s="1" t="s">
        <v>20</v>
      </c>
      <c r="K380" s="2" t="s">
        <v>20</v>
      </c>
      <c r="L380" s="6">
        <v>32</v>
      </c>
      <c r="M380" s="2">
        <v>0</v>
      </c>
      <c r="N380" s="6" t="s">
        <v>31</v>
      </c>
      <c r="O380" s="2" t="s">
        <v>32</v>
      </c>
      <c r="P380" s="8">
        <v>0</v>
      </c>
    </row>
    <row r="381" spans="1:16" x14ac:dyDescent="0.3">
      <c r="A381" s="16"/>
      <c r="B381" s="1">
        <v>380</v>
      </c>
      <c r="C381" s="1" t="s">
        <v>179</v>
      </c>
      <c r="D381" s="1">
        <v>1950681463</v>
      </c>
      <c r="E381" s="1" t="s">
        <v>1113</v>
      </c>
      <c r="F381" s="1" t="s">
        <v>1267</v>
      </c>
      <c r="G381" s="1" t="s">
        <v>17</v>
      </c>
      <c r="H381" s="1" t="s">
        <v>18</v>
      </c>
      <c r="I381" s="1" t="s">
        <v>30</v>
      </c>
      <c r="J381" s="1" t="s">
        <v>20</v>
      </c>
      <c r="K381" s="2" t="s">
        <v>20</v>
      </c>
      <c r="L381" s="6">
        <v>61</v>
      </c>
      <c r="M381" s="2">
        <v>0</v>
      </c>
      <c r="N381" s="6" t="s">
        <v>31</v>
      </c>
      <c r="O381" s="2" t="s">
        <v>32</v>
      </c>
      <c r="P381" s="8">
        <v>0</v>
      </c>
    </row>
    <row r="382" spans="1:16" x14ac:dyDescent="0.3">
      <c r="A382" s="16"/>
      <c r="B382" s="1">
        <v>381</v>
      </c>
      <c r="C382" s="1" t="s">
        <v>179</v>
      </c>
      <c r="D382" s="1">
        <v>55496550</v>
      </c>
      <c r="E382" s="1" t="s">
        <v>419</v>
      </c>
      <c r="F382" s="1" t="s">
        <v>420</v>
      </c>
      <c r="G382" s="1" t="s">
        <v>17</v>
      </c>
      <c r="H382" s="1" t="s">
        <v>25</v>
      </c>
      <c r="I382" s="1" t="s">
        <v>26</v>
      </c>
      <c r="J382" s="1" t="s">
        <v>20</v>
      </c>
      <c r="K382" s="2" t="s">
        <v>20</v>
      </c>
      <c r="L382" s="6">
        <v>41</v>
      </c>
      <c r="M382" s="2">
        <v>0.93</v>
      </c>
      <c r="N382" s="6" t="s">
        <v>36</v>
      </c>
      <c r="O382" s="2" t="s">
        <v>74</v>
      </c>
      <c r="P382" s="8">
        <v>58000</v>
      </c>
    </row>
    <row r="383" spans="1:16" x14ac:dyDescent="0.3">
      <c r="A383" s="16"/>
      <c r="B383" s="1">
        <v>382</v>
      </c>
      <c r="C383" s="1" t="s">
        <v>179</v>
      </c>
      <c r="D383" s="1">
        <v>1950670794</v>
      </c>
      <c r="E383" s="1" t="s">
        <v>1114</v>
      </c>
      <c r="F383" s="1" t="s">
        <v>1268</v>
      </c>
      <c r="G383" s="1" t="s">
        <v>17</v>
      </c>
      <c r="H383" s="1" t="s">
        <v>18</v>
      </c>
      <c r="I383" s="1" t="s">
        <v>184</v>
      </c>
      <c r="J383" s="1" t="s">
        <v>20</v>
      </c>
      <c r="K383" s="2" t="s">
        <v>20</v>
      </c>
      <c r="L383" s="6">
        <v>59</v>
      </c>
      <c r="M383" s="2">
        <v>7.33</v>
      </c>
      <c r="N383" s="6" t="s">
        <v>21</v>
      </c>
      <c r="O383" s="2" t="s">
        <v>27</v>
      </c>
      <c r="P383" s="8">
        <v>319000</v>
      </c>
    </row>
    <row r="384" spans="1:16" x14ac:dyDescent="0.3">
      <c r="A384" s="16"/>
      <c r="B384" s="1">
        <v>383</v>
      </c>
      <c r="C384" s="1" t="s">
        <v>179</v>
      </c>
      <c r="D384" s="1">
        <v>55122378</v>
      </c>
      <c r="E384" s="1" t="s">
        <v>421</v>
      </c>
      <c r="F384" s="1" t="s">
        <v>422</v>
      </c>
      <c r="G384" s="1" t="s">
        <v>17</v>
      </c>
      <c r="H384" s="1" t="s">
        <v>18</v>
      </c>
      <c r="I384" s="1" t="s">
        <v>35</v>
      </c>
      <c r="J384" s="1" t="s">
        <v>1015</v>
      </c>
      <c r="K384" s="2" t="s">
        <v>1015</v>
      </c>
      <c r="L384" s="6">
        <v>56</v>
      </c>
      <c r="M384" s="2">
        <v>3.64</v>
      </c>
      <c r="N384" s="6" t="s">
        <v>21</v>
      </c>
      <c r="O384" s="2" t="s">
        <v>59</v>
      </c>
      <c r="P384" s="8">
        <v>103000</v>
      </c>
    </row>
    <row r="385" spans="1:16" x14ac:dyDescent="0.3">
      <c r="A385" s="16"/>
      <c r="B385" s="1">
        <v>384</v>
      </c>
      <c r="C385" s="1" t="s">
        <v>179</v>
      </c>
      <c r="D385" s="1">
        <v>55537277</v>
      </c>
      <c r="E385" s="1" t="s">
        <v>423</v>
      </c>
      <c r="F385" s="1" t="s">
        <v>424</v>
      </c>
      <c r="G385" s="1" t="s">
        <v>17</v>
      </c>
      <c r="H385" s="1" t="s">
        <v>25</v>
      </c>
      <c r="I385" s="1" t="s">
        <v>216</v>
      </c>
      <c r="J385" s="1" t="s">
        <v>20</v>
      </c>
      <c r="K385" s="2" t="s">
        <v>20</v>
      </c>
      <c r="L385" s="6">
        <v>44</v>
      </c>
      <c r="M385" s="2">
        <v>0.82</v>
      </c>
      <c r="N385" s="6" t="s">
        <v>21</v>
      </c>
      <c r="O385" s="2" t="s">
        <v>27</v>
      </c>
      <c r="P385" s="8">
        <v>21000</v>
      </c>
    </row>
    <row r="386" spans="1:16" x14ac:dyDescent="0.3">
      <c r="A386" s="16"/>
      <c r="B386" s="1">
        <v>385</v>
      </c>
      <c r="C386" s="1" t="s">
        <v>179</v>
      </c>
      <c r="D386" s="1">
        <v>54657636</v>
      </c>
      <c r="E386" s="1" t="s">
        <v>425</v>
      </c>
      <c r="F386" s="1" t="s">
        <v>241</v>
      </c>
      <c r="G386" s="1" t="s">
        <v>17</v>
      </c>
      <c r="H386" s="1" t="s">
        <v>25</v>
      </c>
      <c r="I386" s="1" t="s">
        <v>184</v>
      </c>
      <c r="J386" s="1" t="s">
        <v>1015</v>
      </c>
      <c r="K386" s="2" t="s">
        <v>1015</v>
      </c>
      <c r="L386" s="6">
        <v>47</v>
      </c>
      <c r="M386" s="2">
        <v>2.59</v>
      </c>
      <c r="N386" s="6" t="s">
        <v>58</v>
      </c>
      <c r="O386" s="2" t="s">
        <v>22</v>
      </c>
      <c r="P386" s="8">
        <v>110000</v>
      </c>
    </row>
    <row r="387" spans="1:16" x14ac:dyDescent="0.3">
      <c r="A387" s="16"/>
      <c r="B387" s="1">
        <v>386</v>
      </c>
      <c r="C387" s="1" t="s">
        <v>179</v>
      </c>
      <c r="D387" s="1">
        <v>55588825</v>
      </c>
      <c r="E387" s="1" t="s">
        <v>426</v>
      </c>
      <c r="F387" s="1" t="s">
        <v>427</v>
      </c>
      <c r="G387" s="1" t="s">
        <v>17</v>
      </c>
      <c r="H387" s="1" t="s">
        <v>18</v>
      </c>
      <c r="I387" s="1" t="s">
        <v>30</v>
      </c>
      <c r="J387" s="1" t="s">
        <v>20</v>
      </c>
      <c r="K387" s="2" t="s">
        <v>20</v>
      </c>
      <c r="L387" s="6">
        <v>77</v>
      </c>
      <c r="M387" s="2">
        <v>0</v>
      </c>
      <c r="N387" s="6" t="s">
        <v>31</v>
      </c>
      <c r="O387" s="2" t="s">
        <v>32</v>
      </c>
      <c r="P387" s="8">
        <v>0</v>
      </c>
    </row>
    <row r="388" spans="1:16" x14ac:dyDescent="0.3">
      <c r="A388" s="16"/>
      <c r="B388" s="1">
        <v>387</v>
      </c>
      <c r="C388" s="1" t="s">
        <v>179</v>
      </c>
      <c r="D388" s="1">
        <v>1950672889</v>
      </c>
      <c r="E388" s="1" t="s">
        <v>1037</v>
      </c>
      <c r="F388" s="1" t="s">
        <v>1213</v>
      </c>
      <c r="G388" s="1" t="s">
        <v>17</v>
      </c>
      <c r="H388" s="1" t="s">
        <v>25</v>
      </c>
      <c r="I388" s="1" t="s">
        <v>216</v>
      </c>
      <c r="J388" s="1" t="s">
        <v>20</v>
      </c>
      <c r="K388" s="2" t="s">
        <v>1015</v>
      </c>
      <c r="L388" s="6">
        <v>48</v>
      </c>
      <c r="M388" s="2">
        <v>5.46</v>
      </c>
      <c r="N388" s="6" t="s">
        <v>36</v>
      </c>
      <c r="O388" s="2" t="s">
        <v>22</v>
      </c>
      <c r="P388" s="8">
        <v>177000</v>
      </c>
    </row>
    <row r="389" spans="1:16" x14ac:dyDescent="0.3">
      <c r="A389" s="16"/>
      <c r="B389" s="1">
        <v>388</v>
      </c>
      <c r="C389" s="1" t="s">
        <v>179</v>
      </c>
      <c r="D389" s="1">
        <v>55557740</v>
      </c>
      <c r="E389" s="1" t="s">
        <v>428</v>
      </c>
      <c r="F389" s="1" t="s">
        <v>429</v>
      </c>
      <c r="G389" s="1" t="s">
        <v>17</v>
      </c>
      <c r="H389" s="1" t="s">
        <v>25</v>
      </c>
      <c r="I389" s="1" t="s">
        <v>184</v>
      </c>
      <c r="J389" s="1" t="s">
        <v>1015</v>
      </c>
      <c r="K389" s="2" t="s">
        <v>1015</v>
      </c>
      <c r="L389" s="6">
        <v>84</v>
      </c>
      <c r="M389" s="2">
        <v>0.68</v>
      </c>
      <c r="N389" s="6" t="s">
        <v>21</v>
      </c>
      <c r="O389" s="2" t="s">
        <v>74</v>
      </c>
      <c r="P389" s="8">
        <v>38000</v>
      </c>
    </row>
    <row r="390" spans="1:16" x14ac:dyDescent="0.3">
      <c r="A390" s="16"/>
      <c r="B390" s="1">
        <v>389</v>
      </c>
      <c r="C390" s="1" t="s">
        <v>179</v>
      </c>
      <c r="D390" s="1">
        <v>55964010</v>
      </c>
      <c r="E390" s="1" t="s">
        <v>430</v>
      </c>
      <c r="F390" s="1" t="s">
        <v>431</v>
      </c>
      <c r="G390" s="1" t="s">
        <v>17</v>
      </c>
      <c r="H390" s="1" t="s">
        <v>18</v>
      </c>
      <c r="I390" s="1" t="s">
        <v>30</v>
      </c>
      <c r="J390" s="1" t="s">
        <v>1015</v>
      </c>
      <c r="K390" s="2" t="s">
        <v>1015</v>
      </c>
      <c r="L390" s="6">
        <v>53</v>
      </c>
      <c r="M390" s="2">
        <v>0</v>
      </c>
      <c r="N390" s="6" t="s">
        <v>31</v>
      </c>
      <c r="O390" s="2" t="s">
        <v>32</v>
      </c>
      <c r="P390" s="8">
        <v>0</v>
      </c>
    </row>
    <row r="391" spans="1:16" x14ac:dyDescent="0.3">
      <c r="A391" s="16"/>
      <c r="B391" s="1">
        <v>390</v>
      </c>
      <c r="C391" s="1" t="s">
        <v>179</v>
      </c>
      <c r="D391" s="1">
        <v>55509632</v>
      </c>
      <c r="E391" s="1" t="s">
        <v>432</v>
      </c>
      <c r="F391" s="1" t="s">
        <v>433</v>
      </c>
      <c r="G391" s="1" t="s">
        <v>17</v>
      </c>
      <c r="H391" s="1" t="s">
        <v>18</v>
      </c>
      <c r="I391" s="1" t="s">
        <v>19</v>
      </c>
      <c r="J391" s="1" t="s">
        <v>20</v>
      </c>
      <c r="K391" s="2" t="s">
        <v>20</v>
      </c>
      <c r="L391" s="6">
        <v>83</v>
      </c>
      <c r="M391" s="2">
        <v>2.99</v>
      </c>
      <c r="N391" s="6" t="s">
        <v>21</v>
      </c>
      <c r="O391" s="2" t="s">
        <v>195</v>
      </c>
      <c r="P391" s="8">
        <v>151000</v>
      </c>
    </row>
    <row r="392" spans="1:16" x14ac:dyDescent="0.3">
      <c r="A392" s="16"/>
      <c r="B392" s="1">
        <v>391</v>
      </c>
      <c r="C392" s="1" t="s">
        <v>179</v>
      </c>
      <c r="D392" s="1">
        <v>55956939</v>
      </c>
      <c r="E392" s="1" t="s">
        <v>434</v>
      </c>
      <c r="F392" s="1" t="s">
        <v>435</v>
      </c>
      <c r="G392" s="1" t="s">
        <v>17</v>
      </c>
      <c r="H392" s="1" t="s">
        <v>18</v>
      </c>
      <c r="I392" s="1" t="s">
        <v>30</v>
      </c>
      <c r="J392" s="1" t="s">
        <v>1015</v>
      </c>
      <c r="K392" s="2" t="s">
        <v>1015</v>
      </c>
      <c r="L392" s="6">
        <v>67</v>
      </c>
      <c r="M392" s="2">
        <v>0</v>
      </c>
      <c r="N392" s="6" t="s">
        <v>31</v>
      </c>
      <c r="O392" s="2" t="s">
        <v>32</v>
      </c>
      <c r="P392" s="8">
        <v>0</v>
      </c>
    </row>
    <row r="393" spans="1:16" x14ac:dyDescent="0.3">
      <c r="A393" s="16"/>
      <c r="B393" s="1">
        <v>392</v>
      </c>
      <c r="C393" s="1" t="s">
        <v>179</v>
      </c>
      <c r="D393" s="1">
        <v>55553458</v>
      </c>
      <c r="E393" s="1" t="s">
        <v>436</v>
      </c>
      <c r="F393" s="1" t="s">
        <v>437</v>
      </c>
      <c r="G393" s="1" t="s">
        <v>88</v>
      </c>
      <c r="H393" s="1" t="s">
        <v>25</v>
      </c>
      <c r="I393" s="1" t="s">
        <v>184</v>
      </c>
      <c r="J393" s="1" t="s">
        <v>1015</v>
      </c>
      <c r="K393" s="2" t="s">
        <v>1015</v>
      </c>
      <c r="L393" s="6">
        <v>50</v>
      </c>
      <c r="M393" s="2">
        <v>0.63</v>
      </c>
      <c r="N393" s="6" t="s">
        <v>58</v>
      </c>
      <c r="O393" s="2" t="s">
        <v>55</v>
      </c>
      <c r="P393" s="8">
        <v>28000</v>
      </c>
    </row>
    <row r="394" spans="1:16" x14ac:dyDescent="0.3">
      <c r="A394" s="16"/>
      <c r="B394" s="1">
        <v>393</v>
      </c>
      <c r="C394" s="1" t="s">
        <v>179</v>
      </c>
      <c r="D394" s="1">
        <v>54668606</v>
      </c>
      <c r="E394" s="1" t="s">
        <v>438</v>
      </c>
      <c r="F394" s="1" t="s">
        <v>439</v>
      </c>
      <c r="G394" s="1" t="s">
        <v>17</v>
      </c>
      <c r="H394" s="1" t="s">
        <v>25</v>
      </c>
      <c r="I394" s="1" t="s">
        <v>184</v>
      </c>
      <c r="J394" s="1" t="s">
        <v>1015</v>
      </c>
      <c r="K394" s="2" t="s">
        <v>1015</v>
      </c>
      <c r="L394" s="6">
        <v>50</v>
      </c>
      <c r="M394" s="2">
        <v>2.9</v>
      </c>
      <c r="N394" s="6" t="s">
        <v>21</v>
      </c>
      <c r="O394" s="2" t="s">
        <v>22</v>
      </c>
      <c r="P394" s="8">
        <v>128000</v>
      </c>
    </row>
    <row r="395" spans="1:16" x14ac:dyDescent="0.3">
      <c r="A395" s="16"/>
      <c r="B395" s="1">
        <v>394</v>
      </c>
      <c r="C395" s="1" t="s">
        <v>179</v>
      </c>
      <c r="D395" s="1">
        <v>55556353</v>
      </c>
      <c r="E395" s="1" t="s">
        <v>440</v>
      </c>
      <c r="F395" s="1" t="s">
        <v>441</v>
      </c>
      <c r="G395" s="1" t="s">
        <v>17</v>
      </c>
      <c r="H395" s="1" t="s">
        <v>25</v>
      </c>
      <c r="I395" s="1" t="s">
        <v>216</v>
      </c>
      <c r="J395" s="1" t="s">
        <v>1015</v>
      </c>
      <c r="K395" s="2" t="s">
        <v>1015</v>
      </c>
      <c r="L395" s="6">
        <v>60</v>
      </c>
      <c r="M395" s="2">
        <v>3.34</v>
      </c>
      <c r="N395" s="6" t="s">
        <v>21</v>
      </c>
      <c r="O395" s="2" t="s">
        <v>22</v>
      </c>
      <c r="P395" s="8">
        <v>142000</v>
      </c>
    </row>
    <row r="396" spans="1:16" x14ac:dyDescent="0.3">
      <c r="A396" s="16"/>
      <c r="B396" s="1">
        <v>395</v>
      </c>
      <c r="C396" s="1" t="s">
        <v>179</v>
      </c>
      <c r="D396" s="1">
        <v>811347906</v>
      </c>
      <c r="E396" s="1" t="s">
        <v>442</v>
      </c>
      <c r="F396" s="1" t="s">
        <v>443</v>
      </c>
      <c r="G396" s="1" t="s">
        <v>17</v>
      </c>
      <c r="H396" s="1" t="s">
        <v>25</v>
      </c>
      <c r="I396" s="1" t="s">
        <v>216</v>
      </c>
      <c r="J396" s="1" t="s">
        <v>20</v>
      </c>
      <c r="K396" s="2" t="s">
        <v>20</v>
      </c>
      <c r="L396" s="6">
        <v>55</v>
      </c>
      <c r="M396" s="2">
        <v>1.17</v>
      </c>
      <c r="N396" s="6" t="s">
        <v>36</v>
      </c>
      <c r="O396" s="2" t="s">
        <v>27</v>
      </c>
      <c r="P396" s="8">
        <v>25000</v>
      </c>
    </row>
    <row r="397" spans="1:16" x14ac:dyDescent="0.3">
      <c r="A397" s="16"/>
      <c r="B397" s="1">
        <v>396</v>
      </c>
      <c r="C397" s="1" t="s">
        <v>179</v>
      </c>
      <c r="D397" s="1">
        <v>55952984</v>
      </c>
      <c r="E397" s="1" t="s">
        <v>444</v>
      </c>
      <c r="F397" s="1" t="s">
        <v>445</v>
      </c>
      <c r="G397" s="1" t="s">
        <v>17</v>
      </c>
      <c r="H397" s="1" t="s">
        <v>18</v>
      </c>
      <c r="I397" s="1" t="s">
        <v>30</v>
      </c>
      <c r="J397" s="1" t="s">
        <v>20</v>
      </c>
      <c r="K397" s="2" t="s">
        <v>20</v>
      </c>
      <c r="L397" s="6">
        <v>61</v>
      </c>
      <c r="M397" s="2">
        <v>0</v>
      </c>
      <c r="N397" s="6" t="s">
        <v>31</v>
      </c>
      <c r="O397" s="2" t="s">
        <v>32</v>
      </c>
      <c r="P397" s="8">
        <v>0</v>
      </c>
    </row>
    <row r="398" spans="1:16" x14ac:dyDescent="0.3">
      <c r="A398" s="16"/>
      <c r="B398" s="1">
        <v>397</v>
      </c>
      <c r="C398" s="1" t="s">
        <v>179</v>
      </c>
      <c r="D398" s="1">
        <v>55508160</v>
      </c>
      <c r="E398" s="1" t="s">
        <v>1115</v>
      </c>
      <c r="F398" s="1" t="s">
        <v>1221</v>
      </c>
      <c r="G398" s="1" t="s">
        <v>88</v>
      </c>
      <c r="H398" s="1" t="s">
        <v>18</v>
      </c>
      <c r="I398" s="1" t="s">
        <v>120</v>
      </c>
      <c r="J398" s="1" t="s">
        <v>20</v>
      </c>
      <c r="K398" s="2" t="s">
        <v>20</v>
      </c>
      <c r="L398" s="6">
        <v>74</v>
      </c>
      <c r="M398" s="2">
        <v>0.77</v>
      </c>
      <c r="N398" s="6" t="s">
        <v>58</v>
      </c>
      <c r="O398" s="2" t="s">
        <v>27</v>
      </c>
      <c r="P398" s="8">
        <v>36000</v>
      </c>
    </row>
    <row r="399" spans="1:16" x14ac:dyDescent="0.3">
      <c r="A399" s="16"/>
      <c r="B399" s="1">
        <v>398</v>
      </c>
      <c r="C399" s="1" t="s">
        <v>179</v>
      </c>
      <c r="D399" s="1">
        <v>811325731</v>
      </c>
      <c r="E399" s="1" t="s">
        <v>446</v>
      </c>
      <c r="F399" s="1" t="s">
        <v>447</v>
      </c>
      <c r="G399" s="1" t="s">
        <v>88</v>
      </c>
      <c r="H399" s="1" t="s">
        <v>18</v>
      </c>
      <c r="I399" s="1" t="s">
        <v>120</v>
      </c>
      <c r="J399" s="1" t="s">
        <v>20</v>
      </c>
      <c r="K399" s="2" t="s">
        <v>20</v>
      </c>
      <c r="L399" s="6">
        <v>78</v>
      </c>
      <c r="M399" s="2">
        <v>1.98</v>
      </c>
      <c r="N399" s="6" t="s">
        <v>21</v>
      </c>
      <c r="O399" s="2" t="s">
        <v>55</v>
      </c>
      <c r="P399" s="8">
        <v>48000</v>
      </c>
    </row>
    <row r="400" spans="1:16" x14ac:dyDescent="0.3">
      <c r="A400" s="16"/>
      <c r="B400" s="1">
        <v>399</v>
      </c>
      <c r="C400" s="1" t="s">
        <v>179</v>
      </c>
      <c r="D400" s="1">
        <v>811345971</v>
      </c>
      <c r="E400" s="1" t="s">
        <v>448</v>
      </c>
      <c r="F400" s="1" t="s">
        <v>449</v>
      </c>
      <c r="G400" s="1" t="s">
        <v>17</v>
      </c>
      <c r="H400" s="1" t="s">
        <v>18</v>
      </c>
      <c r="I400" s="1" t="s">
        <v>19</v>
      </c>
      <c r="J400" s="1" t="s">
        <v>20</v>
      </c>
      <c r="K400" s="2" t="s">
        <v>20</v>
      </c>
      <c r="L400" s="6">
        <v>80</v>
      </c>
      <c r="M400" s="2">
        <v>4.22</v>
      </c>
      <c r="N400" s="6" t="s">
        <v>21</v>
      </c>
      <c r="O400" s="2" t="s">
        <v>27</v>
      </c>
      <c r="P400" s="8">
        <v>111000</v>
      </c>
    </row>
    <row r="401" spans="1:16" x14ac:dyDescent="0.3">
      <c r="A401" s="16"/>
      <c r="B401" s="1">
        <v>400</v>
      </c>
      <c r="C401" s="1" t="s">
        <v>179</v>
      </c>
      <c r="D401" s="1">
        <v>811303545</v>
      </c>
      <c r="E401" s="1" t="s">
        <v>1116</v>
      </c>
      <c r="F401" s="1" t="s">
        <v>1269</v>
      </c>
      <c r="G401" s="1" t="s">
        <v>17</v>
      </c>
      <c r="H401" s="1" t="s">
        <v>25</v>
      </c>
      <c r="I401" s="1" t="s">
        <v>216</v>
      </c>
      <c r="J401" s="1" t="s">
        <v>20</v>
      </c>
      <c r="K401" s="2" t="s">
        <v>20</v>
      </c>
      <c r="L401" s="6">
        <v>76</v>
      </c>
      <c r="M401" s="2">
        <v>0.66</v>
      </c>
      <c r="N401" s="6" t="s">
        <v>58</v>
      </c>
      <c r="O401" s="2" t="s">
        <v>195</v>
      </c>
      <c r="P401" s="8">
        <v>35000</v>
      </c>
    </row>
    <row r="402" spans="1:16" x14ac:dyDescent="0.3">
      <c r="A402" s="16"/>
      <c r="B402" s="1">
        <v>401</v>
      </c>
      <c r="C402" s="1" t="s">
        <v>179</v>
      </c>
      <c r="D402" s="1">
        <v>55168296</v>
      </c>
      <c r="E402" s="1" t="s">
        <v>450</v>
      </c>
      <c r="F402" s="1" t="s">
        <v>451</v>
      </c>
      <c r="G402" s="1" t="s">
        <v>17</v>
      </c>
      <c r="H402" s="1" t="s">
        <v>18</v>
      </c>
      <c r="I402" s="1" t="s">
        <v>26</v>
      </c>
      <c r="J402" s="1" t="s">
        <v>20</v>
      </c>
      <c r="K402" s="2" t="s">
        <v>20</v>
      </c>
      <c r="L402" s="6">
        <v>78</v>
      </c>
      <c r="M402" s="2">
        <v>3.34</v>
      </c>
      <c r="N402" s="6" t="s">
        <v>21</v>
      </c>
      <c r="O402" s="2" t="s">
        <v>22</v>
      </c>
      <c r="P402" s="8">
        <v>80000</v>
      </c>
    </row>
    <row r="403" spans="1:16" x14ac:dyDescent="0.3">
      <c r="A403" s="16"/>
      <c r="B403" s="1">
        <v>402</v>
      </c>
      <c r="C403" s="1" t="s">
        <v>179</v>
      </c>
      <c r="D403" s="1">
        <v>55538513</v>
      </c>
      <c r="E403" s="1" t="s">
        <v>1117</v>
      </c>
      <c r="F403" s="1" t="s">
        <v>452</v>
      </c>
      <c r="G403" s="1" t="s">
        <v>88</v>
      </c>
      <c r="H403" s="1" t="s">
        <v>25</v>
      </c>
      <c r="I403" s="1" t="s">
        <v>184</v>
      </c>
      <c r="J403" s="1" t="s">
        <v>20</v>
      </c>
      <c r="K403" s="2" t="s">
        <v>20</v>
      </c>
      <c r="L403" s="6">
        <v>69</v>
      </c>
      <c r="M403" s="2">
        <v>2.34</v>
      </c>
      <c r="N403" s="6" t="s">
        <v>21</v>
      </c>
      <c r="O403" s="2" t="s">
        <v>361</v>
      </c>
      <c r="P403" s="8">
        <v>100000</v>
      </c>
    </row>
    <row r="404" spans="1:16" x14ac:dyDescent="0.3">
      <c r="A404" s="16"/>
      <c r="B404" s="1">
        <v>403</v>
      </c>
      <c r="C404" s="1" t="s">
        <v>179</v>
      </c>
      <c r="D404" s="1">
        <v>55466141</v>
      </c>
      <c r="E404" s="1" t="s">
        <v>453</v>
      </c>
      <c r="F404" s="1" t="s">
        <v>454</v>
      </c>
      <c r="G404" s="1" t="s">
        <v>17</v>
      </c>
      <c r="H404" s="1" t="s">
        <v>18</v>
      </c>
      <c r="I404" s="1" t="s">
        <v>30</v>
      </c>
      <c r="J404" s="1" t="s">
        <v>20</v>
      </c>
      <c r="K404" s="2" t="s">
        <v>20</v>
      </c>
      <c r="L404" s="6">
        <v>40</v>
      </c>
      <c r="M404" s="2">
        <v>0</v>
      </c>
      <c r="N404" s="6" t="s">
        <v>31</v>
      </c>
      <c r="O404" s="2" t="s">
        <v>32</v>
      </c>
      <c r="P404" s="8">
        <v>0</v>
      </c>
    </row>
    <row r="405" spans="1:16" x14ac:dyDescent="0.3">
      <c r="A405" s="16"/>
      <c r="B405" s="1">
        <v>404</v>
      </c>
      <c r="C405" s="1" t="s">
        <v>179</v>
      </c>
      <c r="D405" s="1">
        <v>55518262</v>
      </c>
      <c r="E405" s="1" t="s">
        <v>455</v>
      </c>
      <c r="F405" s="1" t="s">
        <v>456</v>
      </c>
      <c r="G405" s="1" t="s">
        <v>17</v>
      </c>
      <c r="H405" s="1" t="s">
        <v>25</v>
      </c>
      <c r="I405" s="1" t="s">
        <v>216</v>
      </c>
      <c r="J405" s="1" t="s">
        <v>1015</v>
      </c>
      <c r="K405" s="2" t="s">
        <v>1015</v>
      </c>
      <c r="L405" s="6">
        <v>32</v>
      </c>
      <c r="M405" s="2">
        <v>1.25</v>
      </c>
      <c r="N405" s="6" t="s">
        <v>58</v>
      </c>
      <c r="O405" s="2" t="s">
        <v>27</v>
      </c>
      <c r="P405" s="8">
        <v>66000</v>
      </c>
    </row>
    <row r="406" spans="1:16" x14ac:dyDescent="0.3">
      <c r="A406" s="16"/>
      <c r="B406" s="1">
        <v>405</v>
      </c>
      <c r="C406" s="1" t="s">
        <v>179</v>
      </c>
      <c r="D406" s="1">
        <v>55540651</v>
      </c>
      <c r="E406" s="1" t="s">
        <v>1118</v>
      </c>
      <c r="F406" s="1" t="s">
        <v>457</v>
      </c>
      <c r="G406" s="1" t="s">
        <v>88</v>
      </c>
      <c r="H406" s="1" t="s">
        <v>18</v>
      </c>
      <c r="I406" s="1" t="s">
        <v>120</v>
      </c>
      <c r="J406" s="1" t="s">
        <v>20</v>
      </c>
      <c r="K406" s="2" t="s">
        <v>20</v>
      </c>
      <c r="L406" s="6">
        <v>73</v>
      </c>
      <c r="M406" s="2">
        <v>0.66</v>
      </c>
      <c r="N406" s="6" t="s">
        <v>21</v>
      </c>
      <c r="O406" s="2" t="s">
        <v>22</v>
      </c>
      <c r="P406" s="8">
        <v>18000</v>
      </c>
    </row>
    <row r="407" spans="1:16" x14ac:dyDescent="0.3">
      <c r="A407" s="16"/>
      <c r="B407" s="1">
        <v>406</v>
      </c>
      <c r="C407" s="1" t="s">
        <v>179</v>
      </c>
      <c r="D407" s="1">
        <v>54673657</v>
      </c>
      <c r="E407" s="1" t="s">
        <v>458</v>
      </c>
      <c r="F407" s="1" t="s">
        <v>459</v>
      </c>
      <c r="G407" s="1" t="s">
        <v>17</v>
      </c>
      <c r="H407" s="1" t="s">
        <v>18</v>
      </c>
      <c r="I407" s="1" t="s">
        <v>19</v>
      </c>
      <c r="J407" s="1" t="s">
        <v>20</v>
      </c>
      <c r="K407" s="2" t="s">
        <v>20</v>
      </c>
      <c r="L407" s="6">
        <v>61</v>
      </c>
      <c r="M407" s="2">
        <v>0.71</v>
      </c>
      <c r="N407" s="6" t="s">
        <v>21</v>
      </c>
      <c r="O407" s="2" t="s">
        <v>59</v>
      </c>
      <c r="P407" s="8">
        <v>22000</v>
      </c>
    </row>
    <row r="408" spans="1:16" x14ac:dyDescent="0.3">
      <c r="A408" s="16"/>
      <c r="B408" s="1">
        <v>407</v>
      </c>
      <c r="C408" s="1" t="s">
        <v>179</v>
      </c>
      <c r="D408" s="1">
        <v>55506656</v>
      </c>
      <c r="E408" s="1" t="s">
        <v>1119</v>
      </c>
      <c r="F408" s="1" t="s">
        <v>460</v>
      </c>
      <c r="G408" s="1" t="s">
        <v>88</v>
      </c>
      <c r="H408" s="1" t="s">
        <v>25</v>
      </c>
      <c r="I408" s="1" t="s">
        <v>26</v>
      </c>
      <c r="J408" s="1" t="s">
        <v>1015</v>
      </c>
      <c r="K408" s="2" t="s">
        <v>1015</v>
      </c>
      <c r="L408" s="6">
        <v>51</v>
      </c>
      <c r="M408" s="2">
        <v>2.83</v>
      </c>
      <c r="N408" s="6" t="s">
        <v>21</v>
      </c>
      <c r="O408" s="2" t="s">
        <v>22</v>
      </c>
      <c r="P408" s="8">
        <v>173000</v>
      </c>
    </row>
    <row r="409" spans="1:16" x14ac:dyDescent="0.3">
      <c r="A409" s="16"/>
      <c r="B409" s="1">
        <v>408</v>
      </c>
      <c r="C409" s="1" t="s">
        <v>179</v>
      </c>
      <c r="D409" s="1">
        <v>811303436</v>
      </c>
      <c r="E409" s="1" t="s">
        <v>1120</v>
      </c>
      <c r="F409" s="1" t="s">
        <v>1270</v>
      </c>
      <c r="G409" s="1" t="s">
        <v>88</v>
      </c>
      <c r="H409" s="1" t="s">
        <v>18</v>
      </c>
      <c r="I409" s="1" t="s">
        <v>120</v>
      </c>
      <c r="J409" s="1" t="s">
        <v>20</v>
      </c>
      <c r="K409" s="2" t="s">
        <v>20</v>
      </c>
      <c r="L409" s="6">
        <v>59</v>
      </c>
      <c r="M409" s="2">
        <v>0.52</v>
      </c>
      <c r="N409" s="6" t="s">
        <v>21</v>
      </c>
      <c r="O409" s="2" t="s">
        <v>59</v>
      </c>
      <c r="P409" s="8">
        <v>26000</v>
      </c>
    </row>
    <row r="410" spans="1:16" x14ac:dyDescent="0.3">
      <c r="A410" s="16"/>
      <c r="B410" s="1">
        <v>409</v>
      </c>
      <c r="C410" s="1" t="s">
        <v>179</v>
      </c>
      <c r="D410" s="1">
        <v>55160291</v>
      </c>
      <c r="E410" s="1" t="s">
        <v>461</v>
      </c>
      <c r="F410" s="1" t="s">
        <v>462</v>
      </c>
      <c r="G410" s="1" t="s">
        <v>17</v>
      </c>
      <c r="H410" s="1" t="s">
        <v>25</v>
      </c>
      <c r="I410" s="1" t="s">
        <v>184</v>
      </c>
      <c r="J410" s="1" t="s">
        <v>20</v>
      </c>
      <c r="K410" s="2" t="s">
        <v>20</v>
      </c>
      <c r="L410" s="6">
        <v>46</v>
      </c>
      <c r="M410" s="2">
        <v>0.75</v>
      </c>
      <c r="N410" s="6" t="s">
        <v>21</v>
      </c>
      <c r="O410" s="2" t="s">
        <v>27</v>
      </c>
      <c r="P410" s="8">
        <v>39000</v>
      </c>
    </row>
    <row r="411" spans="1:16" x14ac:dyDescent="0.3">
      <c r="A411" s="16"/>
      <c r="B411" s="1">
        <v>410</v>
      </c>
      <c r="C411" s="1" t="s">
        <v>179</v>
      </c>
      <c r="D411" s="1">
        <v>55129137</v>
      </c>
      <c r="E411" s="1" t="s">
        <v>463</v>
      </c>
      <c r="F411" s="1" t="s">
        <v>380</v>
      </c>
      <c r="G411" s="1" t="s">
        <v>17</v>
      </c>
      <c r="H411" s="1" t="s">
        <v>18</v>
      </c>
      <c r="I411" s="1" t="s">
        <v>35</v>
      </c>
      <c r="J411" s="1" t="s">
        <v>1015</v>
      </c>
      <c r="K411" s="2" t="s">
        <v>1015</v>
      </c>
      <c r="L411" s="6">
        <v>48</v>
      </c>
      <c r="M411" s="2">
        <v>0.56999999999999995</v>
      </c>
      <c r="N411" s="6" t="s">
        <v>21</v>
      </c>
      <c r="O411" s="2" t="s">
        <v>27</v>
      </c>
      <c r="P411" s="8">
        <v>27000</v>
      </c>
    </row>
    <row r="412" spans="1:16" x14ac:dyDescent="0.3">
      <c r="A412" s="16"/>
      <c r="B412" s="1">
        <v>411</v>
      </c>
      <c r="C412" s="1" t="s">
        <v>179</v>
      </c>
      <c r="D412" s="1">
        <v>811348364</v>
      </c>
      <c r="E412" s="1" t="s">
        <v>464</v>
      </c>
      <c r="F412" s="1" t="s">
        <v>1271</v>
      </c>
      <c r="G412" s="1" t="s">
        <v>17</v>
      </c>
      <c r="H412" s="1" t="s">
        <v>18</v>
      </c>
      <c r="I412" s="1" t="s">
        <v>30</v>
      </c>
      <c r="J412" s="1" t="s">
        <v>20</v>
      </c>
      <c r="K412" s="2" t="s">
        <v>20</v>
      </c>
      <c r="L412" s="6">
        <v>74</v>
      </c>
      <c r="M412" s="2">
        <v>0</v>
      </c>
      <c r="N412" s="6" t="s">
        <v>31</v>
      </c>
      <c r="O412" s="2" t="s">
        <v>32</v>
      </c>
      <c r="P412" s="8">
        <v>0</v>
      </c>
    </row>
    <row r="413" spans="1:16" x14ac:dyDescent="0.3">
      <c r="A413" s="16"/>
      <c r="B413" s="1">
        <v>412</v>
      </c>
      <c r="C413" s="1" t="s">
        <v>179</v>
      </c>
      <c r="D413" s="1">
        <v>55134994</v>
      </c>
      <c r="E413" s="1" t="s">
        <v>465</v>
      </c>
      <c r="F413" s="1" t="s">
        <v>466</v>
      </c>
      <c r="G413" s="1" t="s">
        <v>17</v>
      </c>
      <c r="H413" s="1" t="s">
        <v>18</v>
      </c>
      <c r="I413" s="1" t="s">
        <v>19</v>
      </c>
      <c r="J413" s="1" t="s">
        <v>1015</v>
      </c>
      <c r="K413" s="2" t="s">
        <v>1015</v>
      </c>
      <c r="L413" s="6">
        <v>72</v>
      </c>
      <c r="M413" s="2">
        <v>3.64</v>
      </c>
      <c r="N413" s="6" t="s">
        <v>21</v>
      </c>
      <c r="O413" s="2" t="s">
        <v>27</v>
      </c>
      <c r="P413" s="8">
        <v>113000</v>
      </c>
    </row>
    <row r="414" spans="1:16" x14ac:dyDescent="0.3">
      <c r="A414" s="16"/>
      <c r="B414" s="1">
        <v>413</v>
      </c>
      <c r="C414" s="1" t="s">
        <v>179</v>
      </c>
      <c r="D414" s="1">
        <v>25602662</v>
      </c>
      <c r="E414" s="1" t="s">
        <v>467</v>
      </c>
      <c r="F414" s="1" t="s">
        <v>468</v>
      </c>
      <c r="G414" s="1" t="s">
        <v>17</v>
      </c>
      <c r="H414" s="1" t="s">
        <v>18</v>
      </c>
      <c r="I414" s="1" t="s">
        <v>30</v>
      </c>
      <c r="J414" s="1" t="s">
        <v>20</v>
      </c>
      <c r="K414" s="2" t="s">
        <v>20</v>
      </c>
      <c r="L414" s="6">
        <v>85</v>
      </c>
      <c r="M414" s="2">
        <v>0</v>
      </c>
      <c r="N414" s="6" t="s">
        <v>31</v>
      </c>
      <c r="O414" s="2" t="s">
        <v>32</v>
      </c>
      <c r="P414" s="8">
        <v>0</v>
      </c>
    </row>
    <row r="415" spans="1:16" x14ac:dyDescent="0.3">
      <c r="A415" s="16"/>
      <c r="B415" s="1">
        <v>414</v>
      </c>
      <c r="C415" s="1" t="s">
        <v>179</v>
      </c>
      <c r="D415" s="1">
        <v>55163602</v>
      </c>
      <c r="E415" s="1" t="s">
        <v>469</v>
      </c>
      <c r="F415" s="1" t="s">
        <v>470</v>
      </c>
      <c r="G415" s="1" t="s">
        <v>17</v>
      </c>
      <c r="H415" s="1" t="s">
        <v>25</v>
      </c>
      <c r="I415" s="1" t="s">
        <v>184</v>
      </c>
      <c r="J415" s="1" t="s">
        <v>1015</v>
      </c>
      <c r="K415" s="2" t="s">
        <v>1015</v>
      </c>
      <c r="L415" s="6">
        <v>79</v>
      </c>
      <c r="M415" s="2">
        <v>1.57</v>
      </c>
      <c r="N415" s="6" t="s">
        <v>21</v>
      </c>
      <c r="O415" s="2" t="s">
        <v>59</v>
      </c>
      <c r="P415" s="8">
        <v>30000</v>
      </c>
    </row>
    <row r="416" spans="1:16" x14ac:dyDescent="0.3">
      <c r="A416" s="16"/>
      <c r="B416" s="1">
        <v>415</v>
      </c>
      <c r="C416" s="1" t="s">
        <v>179</v>
      </c>
      <c r="D416" s="1">
        <v>55474808</v>
      </c>
      <c r="E416" s="1" t="s">
        <v>471</v>
      </c>
      <c r="F416" s="1" t="s">
        <v>472</v>
      </c>
      <c r="G416" s="1" t="s">
        <v>88</v>
      </c>
      <c r="H416" s="1" t="s">
        <v>18</v>
      </c>
      <c r="I416" s="1" t="s">
        <v>120</v>
      </c>
      <c r="J416" s="1" t="s">
        <v>20</v>
      </c>
      <c r="K416" s="2" t="s">
        <v>20</v>
      </c>
      <c r="L416" s="6">
        <v>35</v>
      </c>
      <c r="M416" s="2">
        <v>0.4</v>
      </c>
      <c r="N416" s="6" t="s">
        <v>21</v>
      </c>
      <c r="O416" s="2" t="s">
        <v>22</v>
      </c>
      <c r="P416" s="8">
        <v>11000</v>
      </c>
    </row>
    <row r="417" spans="1:16" x14ac:dyDescent="0.3">
      <c r="A417" s="16"/>
      <c r="B417" s="1">
        <v>416</v>
      </c>
      <c r="C417" s="1" t="s">
        <v>179</v>
      </c>
      <c r="D417" s="1">
        <v>811301445</v>
      </c>
      <c r="E417" s="1" t="s">
        <v>1121</v>
      </c>
      <c r="F417" s="1" t="s">
        <v>962</v>
      </c>
      <c r="G417" s="1" t="s">
        <v>88</v>
      </c>
      <c r="H417" s="1" t="s">
        <v>25</v>
      </c>
      <c r="I417" s="1" t="s">
        <v>216</v>
      </c>
      <c r="J417" s="1" t="s">
        <v>20</v>
      </c>
      <c r="K417" s="2" t="s">
        <v>20</v>
      </c>
      <c r="L417" s="6">
        <v>53</v>
      </c>
      <c r="M417" s="2">
        <v>2.64</v>
      </c>
      <c r="N417" s="6" t="s">
        <v>21</v>
      </c>
      <c r="O417" s="2" t="s">
        <v>27</v>
      </c>
      <c r="P417" s="8">
        <v>120000</v>
      </c>
    </row>
    <row r="418" spans="1:16" x14ac:dyDescent="0.3">
      <c r="A418" s="16"/>
      <c r="B418" s="1">
        <v>417</v>
      </c>
      <c r="C418" s="1" t="s">
        <v>179</v>
      </c>
      <c r="D418" s="1">
        <v>55939819</v>
      </c>
      <c r="E418" s="1" t="s">
        <v>473</v>
      </c>
      <c r="F418" s="1" t="s">
        <v>474</v>
      </c>
      <c r="G418" s="1" t="s">
        <v>88</v>
      </c>
      <c r="H418" s="1" t="s">
        <v>18</v>
      </c>
      <c r="I418" s="1" t="s">
        <v>120</v>
      </c>
      <c r="J418" s="1" t="s">
        <v>20</v>
      </c>
      <c r="K418" s="2" t="s">
        <v>20</v>
      </c>
      <c r="L418" s="6">
        <v>84</v>
      </c>
      <c r="M418" s="2">
        <v>5.27</v>
      </c>
      <c r="N418" s="6" t="s">
        <v>58</v>
      </c>
      <c r="O418" s="2" t="s">
        <v>59</v>
      </c>
      <c r="P418" s="8">
        <v>217000</v>
      </c>
    </row>
    <row r="419" spans="1:16" x14ac:dyDescent="0.3">
      <c r="A419" s="16"/>
      <c r="B419" s="1">
        <v>418</v>
      </c>
      <c r="C419" s="1" t="s">
        <v>179</v>
      </c>
      <c r="D419" s="1">
        <v>811302398</v>
      </c>
      <c r="E419" s="1" t="s">
        <v>1122</v>
      </c>
      <c r="F419" s="1" t="s">
        <v>1272</v>
      </c>
      <c r="G419" s="1" t="s">
        <v>17</v>
      </c>
      <c r="H419" s="1" t="s">
        <v>25</v>
      </c>
      <c r="I419" s="1" t="s">
        <v>216</v>
      </c>
      <c r="J419" s="1" t="s">
        <v>20</v>
      </c>
      <c r="K419" s="2" t="s">
        <v>20</v>
      </c>
      <c r="L419" s="6">
        <v>79</v>
      </c>
      <c r="M419" s="2">
        <v>0.87</v>
      </c>
      <c r="N419" s="6" t="s">
        <v>58</v>
      </c>
      <c r="O419" s="2" t="s">
        <v>22</v>
      </c>
      <c r="P419" s="8">
        <v>21000</v>
      </c>
    </row>
    <row r="420" spans="1:16" x14ac:dyDescent="0.3">
      <c r="A420" s="16"/>
      <c r="B420" s="1">
        <v>419</v>
      </c>
      <c r="C420" s="1" t="s">
        <v>179</v>
      </c>
      <c r="D420" s="1">
        <v>25069227</v>
      </c>
      <c r="E420" s="1" t="s">
        <v>475</v>
      </c>
      <c r="F420" s="1" t="s">
        <v>476</v>
      </c>
      <c r="G420" s="1" t="s">
        <v>88</v>
      </c>
      <c r="H420" s="1" t="s">
        <v>18</v>
      </c>
      <c r="I420" s="1" t="s">
        <v>120</v>
      </c>
      <c r="J420" s="1" t="s">
        <v>20</v>
      </c>
      <c r="K420" s="2" t="s">
        <v>20</v>
      </c>
      <c r="L420" s="6">
        <v>43</v>
      </c>
      <c r="M420" s="2">
        <v>0.87</v>
      </c>
      <c r="N420" s="6" t="s">
        <v>21</v>
      </c>
      <c r="O420" s="2" t="s">
        <v>55</v>
      </c>
      <c r="P420" s="8">
        <v>38000</v>
      </c>
    </row>
    <row r="421" spans="1:16" x14ac:dyDescent="0.3">
      <c r="A421" s="16"/>
      <c r="B421" s="1">
        <v>420</v>
      </c>
      <c r="C421" s="1" t="s">
        <v>179</v>
      </c>
      <c r="D421" s="1">
        <v>811303968</v>
      </c>
      <c r="E421" s="1" t="s">
        <v>1123</v>
      </c>
      <c r="F421" s="1" t="s">
        <v>1273</v>
      </c>
      <c r="G421" s="1" t="s">
        <v>17</v>
      </c>
      <c r="H421" s="1" t="s">
        <v>18</v>
      </c>
      <c r="I421" s="1" t="s">
        <v>30</v>
      </c>
      <c r="J421" s="1" t="s">
        <v>20</v>
      </c>
      <c r="K421" s="2" t="s">
        <v>20</v>
      </c>
      <c r="L421" s="6">
        <v>63</v>
      </c>
      <c r="M421" s="2">
        <v>0</v>
      </c>
      <c r="N421" s="6" t="s">
        <v>31</v>
      </c>
      <c r="O421" s="2" t="s">
        <v>32</v>
      </c>
      <c r="P421" s="8">
        <v>0</v>
      </c>
    </row>
    <row r="422" spans="1:16" x14ac:dyDescent="0.3">
      <c r="A422" s="16"/>
      <c r="B422" s="1">
        <v>421</v>
      </c>
      <c r="C422" s="1" t="s">
        <v>179</v>
      </c>
      <c r="D422" s="1">
        <v>25089961</v>
      </c>
      <c r="E422" s="1" t="s">
        <v>477</v>
      </c>
      <c r="F422" s="1" t="s">
        <v>478</v>
      </c>
      <c r="G422" s="1" t="s">
        <v>17</v>
      </c>
      <c r="H422" s="1" t="s">
        <v>25</v>
      </c>
      <c r="I422" s="1" t="s">
        <v>216</v>
      </c>
      <c r="J422" s="1" t="s">
        <v>20</v>
      </c>
      <c r="K422" s="2" t="s">
        <v>20</v>
      </c>
      <c r="L422" s="6">
        <v>52</v>
      </c>
      <c r="M422" s="2">
        <v>2.46</v>
      </c>
      <c r="N422" s="6" t="s">
        <v>36</v>
      </c>
      <c r="O422" s="2" t="s">
        <v>195</v>
      </c>
      <c r="P422" s="8">
        <v>93000</v>
      </c>
    </row>
    <row r="423" spans="1:16" x14ac:dyDescent="0.3">
      <c r="A423" s="16"/>
      <c r="B423" s="1">
        <v>422</v>
      </c>
      <c r="C423" s="1" t="s">
        <v>179</v>
      </c>
      <c r="D423" s="1">
        <v>1950669281</v>
      </c>
      <c r="E423" s="1" t="s">
        <v>1040</v>
      </c>
      <c r="F423" s="1" t="s">
        <v>897</v>
      </c>
      <c r="G423" s="1" t="s">
        <v>17</v>
      </c>
      <c r="H423" s="1" t="s">
        <v>18</v>
      </c>
      <c r="I423" s="1" t="s">
        <v>184</v>
      </c>
      <c r="J423" s="1" t="s">
        <v>20</v>
      </c>
      <c r="K423" s="2" t="s">
        <v>20</v>
      </c>
      <c r="L423" s="6">
        <v>41</v>
      </c>
      <c r="M423" s="2">
        <v>6.78</v>
      </c>
      <c r="N423" s="6" t="s">
        <v>58</v>
      </c>
      <c r="O423" s="2" t="s">
        <v>22</v>
      </c>
      <c r="P423" s="8">
        <v>333000</v>
      </c>
    </row>
    <row r="424" spans="1:16" x14ac:dyDescent="0.3">
      <c r="A424" s="16"/>
      <c r="B424" s="1">
        <v>423</v>
      </c>
      <c r="C424" s="1" t="s">
        <v>179</v>
      </c>
      <c r="D424" s="1">
        <v>54133747</v>
      </c>
      <c r="E424" s="1" t="s">
        <v>1124</v>
      </c>
      <c r="F424" s="1" t="s">
        <v>479</v>
      </c>
      <c r="G424" s="1" t="s">
        <v>17</v>
      </c>
      <c r="H424" s="1" t="s">
        <v>18</v>
      </c>
      <c r="I424" s="1" t="s">
        <v>19</v>
      </c>
      <c r="J424" s="1" t="s">
        <v>20</v>
      </c>
      <c r="K424" s="2" t="s">
        <v>20</v>
      </c>
      <c r="L424" s="6">
        <v>29</v>
      </c>
      <c r="M424" s="2">
        <v>0.3</v>
      </c>
      <c r="N424" s="6" t="s">
        <v>58</v>
      </c>
      <c r="O424" s="2" t="s">
        <v>195</v>
      </c>
      <c r="P424" s="8">
        <v>14000</v>
      </c>
    </row>
    <row r="425" spans="1:16" x14ac:dyDescent="0.3">
      <c r="A425" s="16"/>
      <c r="B425" s="1">
        <v>424</v>
      </c>
      <c r="C425" s="1" t="s">
        <v>179</v>
      </c>
      <c r="D425" s="1">
        <v>22349312</v>
      </c>
      <c r="E425" s="1" t="s">
        <v>480</v>
      </c>
      <c r="F425" s="1" t="s">
        <v>481</v>
      </c>
      <c r="G425" s="1" t="s">
        <v>17</v>
      </c>
      <c r="H425" s="1" t="s">
        <v>18</v>
      </c>
      <c r="I425" s="1" t="s">
        <v>19</v>
      </c>
      <c r="J425" s="1" t="s">
        <v>20</v>
      </c>
      <c r="K425" s="2" t="s">
        <v>20</v>
      </c>
      <c r="L425" s="6">
        <v>55</v>
      </c>
      <c r="M425" s="2">
        <v>0.53</v>
      </c>
      <c r="N425" s="6" t="s">
        <v>21</v>
      </c>
      <c r="O425" s="2" t="s">
        <v>195</v>
      </c>
      <c r="P425" s="8">
        <v>23000</v>
      </c>
    </row>
    <row r="426" spans="1:16" x14ac:dyDescent="0.3">
      <c r="A426" s="16"/>
      <c r="B426" s="1">
        <v>425</v>
      </c>
      <c r="C426" s="1" t="s">
        <v>179</v>
      </c>
      <c r="D426" s="1">
        <v>55598843</v>
      </c>
      <c r="E426" s="1" t="s">
        <v>482</v>
      </c>
      <c r="F426" s="1" t="s">
        <v>483</v>
      </c>
      <c r="G426" s="1" t="s">
        <v>17</v>
      </c>
      <c r="H426" s="1" t="s">
        <v>18</v>
      </c>
      <c r="I426" s="1" t="s">
        <v>30</v>
      </c>
      <c r="J426" s="1" t="s">
        <v>1015</v>
      </c>
      <c r="K426" s="2" t="s">
        <v>1015</v>
      </c>
      <c r="L426" s="6">
        <v>43</v>
      </c>
      <c r="M426" s="2">
        <v>0</v>
      </c>
      <c r="N426" s="6" t="s">
        <v>31</v>
      </c>
      <c r="O426" s="2" t="s">
        <v>32</v>
      </c>
      <c r="P426" s="8">
        <v>0</v>
      </c>
    </row>
    <row r="427" spans="1:16" x14ac:dyDescent="0.3">
      <c r="A427" s="16"/>
      <c r="B427" s="1">
        <v>426</v>
      </c>
      <c r="C427" s="1" t="s">
        <v>179</v>
      </c>
      <c r="D427" s="1">
        <v>54106257</v>
      </c>
      <c r="E427" s="1" t="s">
        <v>1125</v>
      </c>
      <c r="F427" s="1" t="s">
        <v>1274</v>
      </c>
      <c r="G427" s="1" t="s">
        <v>88</v>
      </c>
      <c r="H427" s="1" t="s">
        <v>18</v>
      </c>
      <c r="I427" s="1" t="s">
        <v>120</v>
      </c>
      <c r="J427" s="1" t="s">
        <v>20</v>
      </c>
      <c r="K427" s="2" t="s">
        <v>20</v>
      </c>
      <c r="L427" s="6">
        <v>73</v>
      </c>
      <c r="M427" s="2">
        <v>0.42</v>
      </c>
      <c r="N427" s="6" t="s">
        <v>21</v>
      </c>
      <c r="O427" s="2" t="s">
        <v>22</v>
      </c>
      <c r="P427" s="8">
        <v>25000</v>
      </c>
    </row>
    <row r="428" spans="1:16" x14ac:dyDescent="0.3">
      <c r="A428" s="16"/>
      <c r="B428" s="1">
        <v>427</v>
      </c>
      <c r="C428" s="1" t="s">
        <v>179</v>
      </c>
      <c r="D428" s="1">
        <v>811306560</v>
      </c>
      <c r="E428" s="1" t="s">
        <v>484</v>
      </c>
      <c r="F428" s="1" t="s">
        <v>485</v>
      </c>
      <c r="G428" s="1" t="s">
        <v>88</v>
      </c>
      <c r="H428" s="1" t="s">
        <v>18</v>
      </c>
      <c r="I428" s="1" t="s">
        <v>120</v>
      </c>
      <c r="J428" s="1" t="s">
        <v>20</v>
      </c>
      <c r="K428" s="2" t="s">
        <v>20</v>
      </c>
      <c r="L428" s="6">
        <v>68</v>
      </c>
      <c r="M428" s="2">
        <v>0.75</v>
      </c>
      <c r="N428" s="6" t="s">
        <v>58</v>
      </c>
      <c r="O428" s="2" t="s">
        <v>22</v>
      </c>
      <c r="P428" s="8">
        <v>27000</v>
      </c>
    </row>
    <row r="429" spans="1:16" x14ac:dyDescent="0.3">
      <c r="A429" s="16"/>
      <c r="B429" s="1">
        <v>428</v>
      </c>
      <c r="C429" s="1" t="s">
        <v>179</v>
      </c>
      <c r="D429" s="1">
        <v>55501497</v>
      </c>
      <c r="E429" s="1" t="s">
        <v>486</v>
      </c>
      <c r="F429" s="1" t="s">
        <v>487</v>
      </c>
      <c r="G429" s="1" t="s">
        <v>17</v>
      </c>
      <c r="H429" s="1" t="s">
        <v>25</v>
      </c>
      <c r="I429" s="1" t="s">
        <v>26</v>
      </c>
      <c r="J429" s="1" t="s">
        <v>1015</v>
      </c>
      <c r="K429" s="2" t="s">
        <v>1015</v>
      </c>
      <c r="L429" s="6">
        <v>49</v>
      </c>
      <c r="M429" s="2">
        <v>4.88</v>
      </c>
      <c r="N429" s="6" t="s">
        <v>21</v>
      </c>
      <c r="O429" s="2" t="s">
        <v>27</v>
      </c>
      <c r="P429" s="8">
        <v>192000</v>
      </c>
    </row>
    <row r="430" spans="1:16" x14ac:dyDescent="0.3">
      <c r="A430" s="16"/>
      <c r="B430" s="1">
        <v>429</v>
      </c>
      <c r="C430" s="1" t="s">
        <v>179</v>
      </c>
      <c r="D430" s="1">
        <v>811302719</v>
      </c>
      <c r="E430" s="1" t="s">
        <v>488</v>
      </c>
      <c r="F430" s="1" t="s">
        <v>489</v>
      </c>
      <c r="G430" s="1" t="s">
        <v>17</v>
      </c>
      <c r="H430" s="1" t="s">
        <v>18</v>
      </c>
      <c r="I430" s="1" t="s">
        <v>30</v>
      </c>
      <c r="J430" s="1" t="s">
        <v>20</v>
      </c>
      <c r="K430" s="2" t="s">
        <v>20</v>
      </c>
      <c r="L430" s="6">
        <v>76</v>
      </c>
      <c r="M430" s="2">
        <v>0</v>
      </c>
      <c r="N430" s="6" t="s">
        <v>31</v>
      </c>
      <c r="O430" s="2" t="s">
        <v>32</v>
      </c>
      <c r="P430" s="8">
        <v>0</v>
      </c>
    </row>
    <row r="431" spans="1:16" x14ac:dyDescent="0.3">
      <c r="A431" s="16"/>
      <c r="B431" s="1">
        <v>430</v>
      </c>
      <c r="C431" s="1" t="s">
        <v>179</v>
      </c>
      <c r="D431" s="1">
        <v>55530721</v>
      </c>
      <c r="E431" s="1" t="s">
        <v>1126</v>
      </c>
      <c r="F431" s="1" t="s">
        <v>490</v>
      </c>
      <c r="G431" s="1" t="s">
        <v>88</v>
      </c>
      <c r="H431" s="1" t="s">
        <v>18</v>
      </c>
      <c r="I431" s="1" t="s">
        <v>19</v>
      </c>
      <c r="J431" s="1" t="s">
        <v>20</v>
      </c>
      <c r="K431" s="2" t="s">
        <v>20</v>
      </c>
      <c r="L431" s="6">
        <v>55</v>
      </c>
      <c r="M431" s="2">
        <v>2.99</v>
      </c>
      <c r="N431" s="6" t="s">
        <v>21</v>
      </c>
      <c r="O431" s="2" t="s">
        <v>22</v>
      </c>
      <c r="P431" s="8">
        <v>174000</v>
      </c>
    </row>
    <row r="432" spans="1:16" x14ac:dyDescent="0.3">
      <c r="A432" s="16"/>
      <c r="B432" s="1">
        <v>431</v>
      </c>
      <c r="C432" s="1" t="s">
        <v>179</v>
      </c>
      <c r="D432" s="1">
        <v>55928321</v>
      </c>
      <c r="E432" s="1" t="s">
        <v>491</v>
      </c>
      <c r="F432" s="1" t="s">
        <v>492</v>
      </c>
      <c r="G432" s="1" t="s">
        <v>88</v>
      </c>
      <c r="H432" s="1" t="s">
        <v>18</v>
      </c>
      <c r="I432" s="1" t="s">
        <v>120</v>
      </c>
      <c r="J432" s="1" t="s">
        <v>1015</v>
      </c>
      <c r="K432" s="2" t="s">
        <v>1015</v>
      </c>
      <c r="L432" s="6">
        <v>49</v>
      </c>
      <c r="M432" s="2">
        <v>4.9800000000000004</v>
      </c>
      <c r="N432" s="6" t="s">
        <v>21</v>
      </c>
      <c r="O432" s="2" t="s">
        <v>41</v>
      </c>
      <c r="P432" s="8">
        <v>133000</v>
      </c>
    </row>
    <row r="433" spans="1:16" x14ac:dyDescent="0.3">
      <c r="A433" s="16"/>
      <c r="B433" s="1">
        <v>432</v>
      </c>
      <c r="C433" s="1" t="s">
        <v>179</v>
      </c>
      <c r="D433" s="1">
        <v>54155688</v>
      </c>
      <c r="E433" s="1" t="s">
        <v>493</v>
      </c>
      <c r="F433" s="1" t="s">
        <v>494</v>
      </c>
      <c r="G433" s="1" t="s">
        <v>88</v>
      </c>
      <c r="H433" s="1" t="s">
        <v>18</v>
      </c>
      <c r="I433" s="1" t="s">
        <v>120</v>
      </c>
      <c r="J433" s="1" t="s">
        <v>20</v>
      </c>
      <c r="K433" s="2" t="s">
        <v>20</v>
      </c>
      <c r="L433" s="6">
        <v>35</v>
      </c>
      <c r="M433" s="2">
        <v>0.43</v>
      </c>
      <c r="N433" s="6" t="s">
        <v>21</v>
      </c>
      <c r="O433" s="2" t="s">
        <v>27</v>
      </c>
      <c r="P433" s="8">
        <v>16000</v>
      </c>
    </row>
    <row r="434" spans="1:16" x14ac:dyDescent="0.3">
      <c r="A434" s="16"/>
      <c r="B434" s="1">
        <v>433</v>
      </c>
      <c r="C434" s="1" t="s">
        <v>179</v>
      </c>
      <c r="D434" s="1">
        <v>55547923</v>
      </c>
      <c r="E434" s="1" t="s">
        <v>495</v>
      </c>
      <c r="F434" s="1" t="s">
        <v>418</v>
      </c>
      <c r="G434" s="1" t="s">
        <v>17</v>
      </c>
      <c r="H434" s="1" t="s">
        <v>18</v>
      </c>
      <c r="I434" s="1" t="s">
        <v>184</v>
      </c>
      <c r="J434" s="1" t="s">
        <v>20</v>
      </c>
      <c r="K434" s="2" t="s">
        <v>20</v>
      </c>
      <c r="L434" s="6">
        <v>65</v>
      </c>
      <c r="M434" s="2">
        <v>1.28</v>
      </c>
      <c r="N434" s="6" t="s">
        <v>21</v>
      </c>
      <c r="O434" s="2" t="s">
        <v>22</v>
      </c>
      <c r="P434" s="8">
        <v>30000</v>
      </c>
    </row>
    <row r="435" spans="1:16" x14ac:dyDescent="0.3">
      <c r="A435" s="16"/>
      <c r="B435" s="1">
        <v>434</v>
      </c>
      <c r="C435" s="1" t="s">
        <v>179</v>
      </c>
      <c r="D435" s="1">
        <v>55932605</v>
      </c>
      <c r="E435" s="1" t="s">
        <v>496</v>
      </c>
      <c r="F435" s="1" t="s">
        <v>497</v>
      </c>
      <c r="G435" s="1" t="s">
        <v>88</v>
      </c>
      <c r="H435" s="1" t="s">
        <v>25</v>
      </c>
      <c r="I435" s="1" t="s">
        <v>26</v>
      </c>
      <c r="J435" s="1" t="s">
        <v>1015</v>
      </c>
      <c r="K435" s="2" t="s">
        <v>1015</v>
      </c>
      <c r="L435" s="6">
        <v>74</v>
      </c>
      <c r="M435" s="2">
        <v>1.58</v>
      </c>
      <c r="N435" s="6" t="s">
        <v>36</v>
      </c>
      <c r="O435" s="2" t="s">
        <v>27</v>
      </c>
      <c r="P435" s="8">
        <v>86000</v>
      </c>
    </row>
    <row r="436" spans="1:16" x14ac:dyDescent="0.3">
      <c r="A436" s="16"/>
      <c r="B436" s="1">
        <v>435</v>
      </c>
      <c r="C436" s="1" t="s">
        <v>179</v>
      </c>
      <c r="D436" s="1">
        <v>47908312</v>
      </c>
      <c r="E436" s="1" t="s">
        <v>498</v>
      </c>
      <c r="F436" s="1" t="s">
        <v>499</v>
      </c>
      <c r="G436" s="1" t="s">
        <v>17</v>
      </c>
      <c r="H436" s="1" t="s">
        <v>18</v>
      </c>
      <c r="I436" s="1" t="s">
        <v>30</v>
      </c>
      <c r="J436" s="1" t="s">
        <v>20</v>
      </c>
      <c r="K436" s="2" t="s">
        <v>20</v>
      </c>
      <c r="L436" s="6">
        <v>50</v>
      </c>
      <c r="M436" s="2">
        <v>0</v>
      </c>
      <c r="N436" s="6" t="s">
        <v>31</v>
      </c>
      <c r="O436" s="2" t="s">
        <v>32</v>
      </c>
      <c r="P436" s="8">
        <v>0</v>
      </c>
    </row>
    <row r="437" spans="1:16" x14ac:dyDescent="0.3">
      <c r="A437" s="16"/>
      <c r="B437" s="1">
        <v>436</v>
      </c>
      <c r="C437" s="1" t="s">
        <v>179</v>
      </c>
      <c r="D437" s="1">
        <v>55540253</v>
      </c>
      <c r="E437" s="1" t="s">
        <v>1127</v>
      </c>
      <c r="F437" s="1" t="s">
        <v>500</v>
      </c>
      <c r="G437" s="1" t="s">
        <v>88</v>
      </c>
      <c r="H437" s="1" t="s">
        <v>25</v>
      </c>
      <c r="I437" s="1" t="s">
        <v>216</v>
      </c>
      <c r="J437" s="1" t="s">
        <v>1015</v>
      </c>
      <c r="K437" s="2" t="s">
        <v>1015</v>
      </c>
      <c r="L437" s="6">
        <v>72</v>
      </c>
      <c r="M437" s="2">
        <v>0.86</v>
      </c>
      <c r="N437" s="6" t="s">
        <v>58</v>
      </c>
      <c r="O437" s="2" t="s">
        <v>55</v>
      </c>
      <c r="P437" s="8">
        <v>30000</v>
      </c>
    </row>
    <row r="438" spans="1:16" x14ac:dyDescent="0.3">
      <c r="A438" s="16"/>
      <c r="B438" s="1">
        <v>437</v>
      </c>
      <c r="C438" s="1" t="s">
        <v>179</v>
      </c>
      <c r="D438" s="1">
        <v>55437347</v>
      </c>
      <c r="E438" s="1" t="s">
        <v>1128</v>
      </c>
      <c r="F438" s="1" t="s">
        <v>501</v>
      </c>
      <c r="G438" s="1" t="s">
        <v>88</v>
      </c>
      <c r="H438" s="1" t="s">
        <v>18</v>
      </c>
      <c r="I438" s="1" t="s">
        <v>120</v>
      </c>
      <c r="J438" s="1" t="s">
        <v>1015</v>
      </c>
      <c r="K438" s="2" t="s">
        <v>1015</v>
      </c>
      <c r="L438" s="6">
        <v>27</v>
      </c>
      <c r="M438" s="2">
        <v>2.14</v>
      </c>
      <c r="N438" s="6" t="s">
        <v>21</v>
      </c>
      <c r="O438" s="2" t="s">
        <v>22</v>
      </c>
      <c r="P438" s="8">
        <v>91000</v>
      </c>
    </row>
    <row r="439" spans="1:16" x14ac:dyDescent="0.3">
      <c r="A439" s="16"/>
      <c r="B439" s="1">
        <v>438</v>
      </c>
      <c r="C439" s="1" t="s">
        <v>179</v>
      </c>
      <c r="D439" s="1">
        <v>55564005</v>
      </c>
      <c r="E439" s="1" t="s">
        <v>502</v>
      </c>
      <c r="F439" s="1" t="s">
        <v>503</v>
      </c>
      <c r="G439" s="1" t="s">
        <v>17</v>
      </c>
      <c r="H439" s="1" t="s">
        <v>18</v>
      </c>
      <c r="I439" s="1" t="s">
        <v>30</v>
      </c>
      <c r="J439" s="1" t="s">
        <v>20</v>
      </c>
      <c r="K439" s="2" t="s">
        <v>20</v>
      </c>
      <c r="L439" s="6">
        <v>36</v>
      </c>
      <c r="M439" s="2">
        <v>0</v>
      </c>
      <c r="N439" s="6" t="s">
        <v>31</v>
      </c>
      <c r="O439" s="2" t="s">
        <v>32</v>
      </c>
      <c r="P439" s="8">
        <v>0</v>
      </c>
    </row>
    <row r="440" spans="1:16" x14ac:dyDescent="0.3">
      <c r="A440" s="16"/>
      <c r="B440" s="1">
        <v>439</v>
      </c>
      <c r="C440" s="1" t="s">
        <v>179</v>
      </c>
      <c r="D440" s="1">
        <v>47904862</v>
      </c>
      <c r="E440" s="1" t="s">
        <v>504</v>
      </c>
      <c r="F440" s="1" t="s">
        <v>505</v>
      </c>
      <c r="G440" s="1" t="s">
        <v>17</v>
      </c>
      <c r="H440" s="1" t="s">
        <v>18</v>
      </c>
      <c r="I440" s="1" t="s">
        <v>30</v>
      </c>
      <c r="J440" s="1" t="s">
        <v>20</v>
      </c>
      <c r="K440" s="2" t="s">
        <v>20</v>
      </c>
      <c r="L440" s="6">
        <v>82</v>
      </c>
      <c r="M440" s="2">
        <v>0</v>
      </c>
      <c r="N440" s="6" t="s">
        <v>31</v>
      </c>
      <c r="O440" s="2" t="s">
        <v>32</v>
      </c>
      <c r="P440" s="8">
        <v>0</v>
      </c>
    </row>
    <row r="441" spans="1:16" x14ac:dyDescent="0.3">
      <c r="A441" s="16"/>
      <c r="B441" s="1">
        <v>440</v>
      </c>
      <c r="C441" s="1" t="s">
        <v>179</v>
      </c>
      <c r="D441" s="1">
        <v>55520859</v>
      </c>
      <c r="E441" s="1" t="s">
        <v>506</v>
      </c>
      <c r="F441" s="1" t="s">
        <v>393</v>
      </c>
      <c r="G441" s="1" t="s">
        <v>17</v>
      </c>
      <c r="H441" s="1" t="s">
        <v>18</v>
      </c>
      <c r="I441" s="1" t="s">
        <v>30</v>
      </c>
      <c r="J441" s="1" t="s">
        <v>1015</v>
      </c>
      <c r="K441" s="2" t="s">
        <v>1015</v>
      </c>
      <c r="L441" s="6">
        <v>61</v>
      </c>
      <c r="M441" s="2">
        <v>0</v>
      </c>
      <c r="N441" s="6" t="s">
        <v>31</v>
      </c>
      <c r="O441" s="2" t="s">
        <v>32</v>
      </c>
      <c r="P441" s="8">
        <v>0</v>
      </c>
    </row>
    <row r="442" spans="1:16" x14ac:dyDescent="0.3">
      <c r="A442" s="16"/>
      <c r="B442" s="1">
        <v>441</v>
      </c>
      <c r="C442" s="1" t="s">
        <v>179</v>
      </c>
      <c r="D442" s="1">
        <v>28326047</v>
      </c>
      <c r="E442" s="1" t="s">
        <v>507</v>
      </c>
      <c r="F442" s="1" t="s">
        <v>508</v>
      </c>
      <c r="G442" s="1" t="s">
        <v>17</v>
      </c>
      <c r="H442" s="1" t="s">
        <v>18</v>
      </c>
      <c r="I442" s="1" t="s">
        <v>30</v>
      </c>
      <c r="J442" s="1" t="s">
        <v>20</v>
      </c>
      <c r="K442" s="2" t="s">
        <v>20</v>
      </c>
      <c r="L442" s="6">
        <v>70</v>
      </c>
      <c r="M442" s="2">
        <v>0</v>
      </c>
      <c r="N442" s="6" t="s">
        <v>31</v>
      </c>
      <c r="O442" s="2" t="s">
        <v>32</v>
      </c>
      <c r="P442" s="8">
        <v>0</v>
      </c>
    </row>
    <row r="443" spans="1:16" x14ac:dyDescent="0.3">
      <c r="A443" s="16"/>
      <c r="B443" s="1">
        <v>442</v>
      </c>
      <c r="C443" s="1" t="s">
        <v>179</v>
      </c>
      <c r="D443" s="1">
        <v>55497670</v>
      </c>
      <c r="E443" s="1" t="s">
        <v>509</v>
      </c>
      <c r="F443" s="1" t="s">
        <v>510</v>
      </c>
      <c r="G443" s="1" t="s">
        <v>17</v>
      </c>
      <c r="H443" s="1" t="s">
        <v>25</v>
      </c>
      <c r="I443" s="1" t="s">
        <v>26</v>
      </c>
      <c r="J443" s="1" t="s">
        <v>1015</v>
      </c>
      <c r="K443" s="2" t="s">
        <v>1015</v>
      </c>
      <c r="L443" s="6">
        <v>60</v>
      </c>
      <c r="M443" s="2">
        <v>1.6</v>
      </c>
      <c r="N443" s="6" t="s">
        <v>36</v>
      </c>
      <c r="O443" s="2" t="s">
        <v>22</v>
      </c>
      <c r="P443" s="8">
        <v>95000</v>
      </c>
    </row>
    <row r="444" spans="1:16" x14ac:dyDescent="0.3">
      <c r="A444" s="16"/>
      <c r="B444" s="1">
        <v>443</v>
      </c>
      <c r="C444" s="1" t="s">
        <v>179</v>
      </c>
      <c r="D444" s="1">
        <v>55436567</v>
      </c>
      <c r="E444" s="1" t="s">
        <v>511</v>
      </c>
      <c r="F444" s="1" t="s">
        <v>512</v>
      </c>
      <c r="G444" s="1" t="s">
        <v>17</v>
      </c>
      <c r="H444" s="1" t="s">
        <v>18</v>
      </c>
      <c r="I444" s="1" t="s">
        <v>30</v>
      </c>
      <c r="J444" s="1" t="s">
        <v>20</v>
      </c>
      <c r="K444" s="2" t="s">
        <v>20</v>
      </c>
      <c r="L444" s="6">
        <v>72</v>
      </c>
      <c r="M444" s="2">
        <v>0</v>
      </c>
      <c r="N444" s="6" t="s">
        <v>31</v>
      </c>
      <c r="O444" s="2" t="s">
        <v>32</v>
      </c>
      <c r="P444" s="8">
        <v>0</v>
      </c>
    </row>
    <row r="445" spans="1:16" x14ac:dyDescent="0.3">
      <c r="A445" s="16"/>
      <c r="B445" s="1">
        <v>444</v>
      </c>
      <c r="C445" s="1" t="s">
        <v>179</v>
      </c>
      <c r="D445" s="1">
        <v>1950671177</v>
      </c>
      <c r="E445" s="1" t="s">
        <v>1041</v>
      </c>
      <c r="F445" s="1" t="s">
        <v>1218</v>
      </c>
      <c r="G445" s="1" t="s">
        <v>17</v>
      </c>
      <c r="H445" s="1" t="s">
        <v>18</v>
      </c>
      <c r="I445" s="1" t="s">
        <v>30</v>
      </c>
      <c r="J445" s="1" t="s">
        <v>20</v>
      </c>
      <c r="K445" s="2" t="s">
        <v>20</v>
      </c>
      <c r="L445" s="6">
        <v>39</v>
      </c>
      <c r="M445" s="2">
        <v>0</v>
      </c>
      <c r="N445" s="6" t="s">
        <v>31</v>
      </c>
      <c r="O445" s="2" t="s">
        <v>32</v>
      </c>
      <c r="P445" s="8">
        <v>0</v>
      </c>
    </row>
    <row r="446" spans="1:16" x14ac:dyDescent="0.3">
      <c r="A446" s="16"/>
      <c r="B446" s="1">
        <v>445</v>
      </c>
      <c r="C446" s="1" t="s">
        <v>179</v>
      </c>
      <c r="D446" s="1">
        <v>55523034</v>
      </c>
      <c r="E446" s="1" t="s">
        <v>513</v>
      </c>
      <c r="F446" s="1" t="s">
        <v>514</v>
      </c>
      <c r="G446" s="1" t="s">
        <v>17</v>
      </c>
      <c r="H446" s="1" t="s">
        <v>18</v>
      </c>
      <c r="I446" s="1" t="s">
        <v>19</v>
      </c>
      <c r="J446" s="1" t="s">
        <v>20</v>
      </c>
      <c r="K446" s="2" t="s">
        <v>20</v>
      </c>
      <c r="L446" s="6">
        <v>39</v>
      </c>
      <c r="M446" s="2">
        <v>0.42</v>
      </c>
      <c r="N446" s="6" t="s">
        <v>21</v>
      </c>
      <c r="O446" s="2" t="s">
        <v>27</v>
      </c>
      <c r="P446" s="8">
        <v>15000</v>
      </c>
    </row>
    <row r="447" spans="1:16" x14ac:dyDescent="0.3">
      <c r="A447" s="16"/>
      <c r="B447" s="1">
        <v>446</v>
      </c>
      <c r="C447" s="1" t="s">
        <v>179</v>
      </c>
      <c r="D447" s="1">
        <v>55562426</v>
      </c>
      <c r="E447" s="1" t="s">
        <v>515</v>
      </c>
      <c r="F447" s="1" t="s">
        <v>303</v>
      </c>
      <c r="G447" s="1" t="s">
        <v>17</v>
      </c>
      <c r="H447" s="1" t="s">
        <v>25</v>
      </c>
      <c r="I447" s="1" t="s">
        <v>184</v>
      </c>
      <c r="J447" s="1" t="s">
        <v>1015</v>
      </c>
      <c r="K447" s="2" t="s">
        <v>1015</v>
      </c>
      <c r="L447" s="6">
        <v>57</v>
      </c>
      <c r="M447" s="2">
        <v>6.72</v>
      </c>
      <c r="N447" s="6" t="s">
        <v>21</v>
      </c>
      <c r="O447" s="2" t="s">
        <v>27</v>
      </c>
      <c r="P447" s="8">
        <v>249000</v>
      </c>
    </row>
    <row r="448" spans="1:16" x14ac:dyDescent="0.3">
      <c r="A448" s="16"/>
      <c r="B448" s="1">
        <v>447</v>
      </c>
      <c r="C448" s="1" t="s">
        <v>179</v>
      </c>
      <c r="D448" s="1">
        <v>55929273</v>
      </c>
      <c r="E448" s="1" t="s">
        <v>516</v>
      </c>
      <c r="F448" s="1" t="s">
        <v>517</v>
      </c>
      <c r="G448" s="1" t="s">
        <v>17</v>
      </c>
      <c r="H448" s="1" t="s">
        <v>18</v>
      </c>
      <c r="I448" s="1" t="s">
        <v>184</v>
      </c>
      <c r="J448" s="1" t="s">
        <v>1015</v>
      </c>
      <c r="K448" s="2" t="s">
        <v>1015</v>
      </c>
      <c r="L448" s="6">
        <v>48</v>
      </c>
      <c r="M448" s="2">
        <v>2.41</v>
      </c>
      <c r="N448" s="6" t="s">
        <v>21</v>
      </c>
      <c r="O448" s="2" t="s">
        <v>59</v>
      </c>
      <c r="P448" s="8">
        <v>77000</v>
      </c>
    </row>
    <row r="449" spans="1:16" x14ac:dyDescent="0.3">
      <c r="A449" s="16"/>
      <c r="B449" s="1">
        <v>448</v>
      </c>
      <c r="C449" s="1" t="s">
        <v>179</v>
      </c>
      <c r="D449" s="1">
        <v>55433609</v>
      </c>
      <c r="E449" s="1" t="s">
        <v>518</v>
      </c>
      <c r="F449" s="1" t="s">
        <v>519</v>
      </c>
      <c r="G449" s="1" t="s">
        <v>88</v>
      </c>
      <c r="H449" s="1" t="s">
        <v>18</v>
      </c>
      <c r="I449" s="1" t="s">
        <v>120</v>
      </c>
      <c r="J449" s="1" t="s">
        <v>20</v>
      </c>
      <c r="K449" s="2" t="s">
        <v>20</v>
      </c>
      <c r="L449" s="6">
        <v>54</v>
      </c>
      <c r="M449" s="2">
        <v>1.9</v>
      </c>
      <c r="N449" s="6" t="s">
        <v>58</v>
      </c>
      <c r="O449" s="2" t="s">
        <v>22</v>
      </c>
      <c r="P449" s="8">
        <v>66000</v>
      </c>
    </row>
    <row r="450" spans="1:16" x14ac:dyDescent="0.3">
      <c r="A450" s="16"/>
      <c r="B450" s="1">
        <v>449</v>
      </c>
      <c r="C450" s="1" t="s">
        <v>179</v>
      </c>
      <c r="D450" s="1">
        <v>54097733</v>
      </c>
      <c r="E450" s="1" t="s">
        <v>520</v>
      </c>
      <c r="F450" s="1" t="s">
        <v>521</v>
      </c>
      <c r="G450" s="1" t="s">
        <v>88</v>
      </c>
      <c r="H450" s="1" t="s">
        <v>18</v>
      </c>
      <c r="I450" s="1" t="s">
        <v>120</v>
      </c>
      <c r="J450" s="1" t="s">
        <v>20</v>
      </c>
      <c r="K450" s="2" t="s">
        <v>20</v>
      </c>
      <c r="L450" s="6">
        <v>72</v>
      </c>
      <c r="M450" s="2">
        <v>1.2</v>
      </c>
      <c r="N450" s="6" t="s">
        <v>21</v>
      </c>
      <c r="O450" s="2" t="s">
        <v>59</v>
      </c>
      <c r="P450" s="8">
        <v>40000</v>
      </c>
    </row>
    <row r="451" spans="1:16" x14ac:dyDescent="0.3">
      <c r="A451" s="16"/>
      <c r="B451" s="1">
        <v>450</v>
      </c>
      <c r="C451" s="1" t="s">
        <v>179</v>
      </c>
      <c r="D451" s="1">
        <v>55163958</v>
      </c>
      <c r="E451" s="1" t="s">
        <v>522</v>
      </c>
      <c r="F451" s="1" t="s">
        <v>523</v>
      </c>
      <c r="G451" s="1" t="s">
        <v>17</v>
      </c>
      <c r="H451" s="1" t="s">
        <v>25</v>
      </c>
      <c r="I451" s="1" t="s">
        <v>184</v>
      </c>
      <c r="J451" s="1" t="s">
        <v>1015</v>
      </c>
      <c r="K451" s="2" t="s">
        <v>1015</v>
      </c>
      <c r="L451" s="6">
        <v>46</v>
      </c>
      <c r="M451" s="2">
        <v>0.69</v>
      </c>
      <c r="N451" s="6" t="s">
        <v>58</v>
      </c>
      <c r="O451" s="2" t="s">
        <v>22</v>
      </c>
      <c r="P451" s="8">
        <v>19000</v>
      </c>
    </row>
    <row r="452" spans="1:16" x14ac:dyDescent="0.3">
      <c r="A452" s="16"/>
      <c r="B452" s="1">
        <v>451</v>
      </c>
      <c r="C452" s="1" t="s">
        <v>179</v>
      </c>
      <c r="D452" s="1">
        <v>1950673520</v>
      </c>
      <c r="E452" s="1" t="s">
        <v>1043</v>
      </c>
      <c r="F452" s="1" t="s">
        <v>874</v>
      </c>
      <c r="G452" s="1" t="s">
        <v>17</v>
      </c>
      <c r="H452" s="1" t="s">
        <v>18</v>
      </c>
      <c r="I452" s="1" t="s">
        <v>30</v>
      </c>
      <c r="J452" s="1" t="s">
        <v>20</v>
      </c>
      <c r="K452" s="2" t="s">
        <v>20</v>
      </c>
      <c r="L452" s="6">
        <v>36</v>
      </c>
      <c r="M452" s="2">
        <v>0</v>
      </c>
      <c r="N452" s="6" t="s">
        <v>31</v>
      </c>
      <c r="O452" s="2" t="s">
        <v>32</v>
      </c>
      <c r="P452" s="8">
        <v>0</v>
      </c>
    </row>
    <row r="453" spans="1:16" x14ac:dyDescent="0.3">
      <c r="A453" s="16"/>
      <c r="B453" s="1">
        <v>452</v>
      </c>
      <c r="C453" s="1" t="s">
        <v>179</v>
      </c>
      <c r="D453" s="1">
        <v>55516026</v>
      </c>
      <c r="E453" s="1" t="s">
        <v>524</v>
      </c>
      <c r="F453" s="1" t="s">
        <v>393</v>
      </c>
      <c r="G453" s="1" t="s">
        <v>17</v>
      </c>
      <c r="H453" s="1" t="s">
        <v>18</v>
      </c>
      <c r="I453" s="1" t="s">
        <v>19</v>
      </c>
      <c r="J453" s="1" t="s">
        <v>20</v>
      </c>
      <c r="K453" s="2" t="s">
        <v>20</v>
      </c>
      <c r="L453" s="6">
        <v>68</v>
      </c>
      <c r="M453" s="2">
        <v>0.97</v>
      </c>
      <c r="N453" s="6" t="s">
        <v>21</v>
      </c>
      <c r="O453" s="2" t="s">
        <v>22</v>
      </c>
      <c r="P453" s="8">
        <v>36000</v>
      </c>
    </row>
    <row r="454" spans="1:16" x14ac:dyDescent="0.3">
      <c r="A454" s="16"/>
      <c r="B454" s="1">
        <v>453</v>
      </c>
      <c r="C454" s="1" t="s">
        <v>179</v>
      </c>
      <c r="D454" s="1">
        <v>55537745</v>
      </c>
      <c r="E454" s="1" t="s">
        <v>525</v>
      </c>
      <c r="F454" s="1" t="s">
        <v>526</v>
      </c>
      <c r="G454" s="1" t="s">
        <v>17</v>
      </c>
      <c r="H454" s="1" t="s">
        <v>25</v>
      </c>
      <c r="I454" s="1" t="s">
        <v>216</v>
      </c>
      <c r="J454" s="1" t="s">
        <v>20</v>
      </c>
      <c r="K454" s="2" t="s">
        <v>20</v>
      </c>
      <c r="L454" s="6">
        <v>37</v>
      </c>
      <c r="M454" s="2">
        <v>1.65</v>
      </c>
      <c r="N454" s="6" t="s">
        <v>21</v>
      </c>
      <c r="O454" s="2" t="s">
        <v>27</v>
      </c>
      <c r="P454" s="8">
        <v>34000</v>
      </c>
    </row>
    <row r="455" spans="1:16" x14ac:dyDescent="0.3">
      <c r="A455" s="16"/>
      <c r="B455" s="1">
        <v>454</v>
      </c>
      <c r="C455" s="1" t="s">
        <v>179</v>
      </c>
      <c r="D455" s="1">
        <v>811304095</v>
      </c>
      <c r="E455" s="1" t="s">
        <v>1129</v>
      </c>
      <c r="F455" s="1" t="s">
        <v>1249</v>
      </c>
      <c r="G455" s="1" t="s">
        <v>17</v>
      </c>
      <c r="H455" s="1" t="s">
        <v>25</v>
      </c>
      <c r="I455" s="1" t="s">
        <v>216</v>
      </c>
      <c r="J455" s="1" t="s">
        <v>20</v>
      </c>
      <c r="K455" s="2" t="s">
        <v>20</v>
      </c>
      <c r="L455" s="6">
        <v>49</v>
      </c>
      <c r="M455" s="2">
        <v>2.65</v>
      </c>
      <c r="N455" s="6" t="s">
        <v>21</v>
      </c>
      <c r="O455" s="2" t="s">
        <v>22</v>
      </c>
      <c r="P455" s="8">
        <v>133000</v>
      </c>
    </row>
    <row r="456" spans="1:16" x14ac:dyDescent="0.3">
      <c r="A456" s="16"/>
      <c r="B456" s="1">
        <v>455</v>
      </c>
      <c r="C456" s="1" t="s">
        <v>179</v>
      </c>
      <c r="D456" s="1">
        <v>811304056</v>
      </c>
      <c r="E456" s="1" t="s">
        <v>1130</v>
      </c>
      <c r="F456" s="1" t="s">
        <v>1262</v>
      </c>
      <c r="G456" s="1" t="s">
        <v>17</v>
      </c>
      <c r="H456" s="1" t="s">
        <v>18</v>
      </c>
      <c r="I456" s="1" t="s">
        <v>30</v>
      </c>
      <c r="J456" s="1" t="s">
        <v>20</v>
      </c>
      <c r="K456" s="2" t="s">
        <v>20</v>
      </c>
      <c r="L456" s="6">
        <v>53</v>
      </c>
      <c r="M456" s="2">
        <v>0</v>
      </c>
      <c r="N456" s="6" t="s">
        <v>31</v>
      </c>
      <c r="O456" s="2" t="s">
        <v>32</v>
      </c>
      <c r="P456" s="8">
        <v>0</v>
      </c>
    </row>
    <row r="457" spans="1:16" x14ac:dyDescent="0.3">
      <c r="A457" s="16"/>
      <c r="B457" s="1">
        <v>456</v>
      </c>
      <c r="C457" s="1" t="s">
        <v>179</v>
      </c>
      <c r="D457" s="1">
        <v>55117491</v>
      </c>
      <c r="E457" s="1" t="s">
        <v>527</v>
      </c>
      <c r="F457" s="1" t="s">
        <v>528</v>
      </c>
      <c r="G457" s="1" t="s">
        <v>17</v>
      </c>
      <c r="H457" s="1" t="s">
        <v>18</v>
      </c>
      <c r="I457" s="1" t="s">
        <v>19</v>
      </c>
      <c r="J457" s="1" t="s">
        <v>20</v>
      </c>
      <c r="K457" s="2" t="s">
        <v>20</v>
      </c>
      <c r="L457" s="6">
        <v>77</v>
      </c>
      <c r="M457" s="2">
        <v>0.81</v>
      </c>
      <c r="N457" s="6" t="s">
        <v>21</v>
      </c>
      <c r="O457" s="2" t="s">
        <v>22</v>
      </c>
      <c r="P457" s="8">
        <v>40000</v>
      </c>
    </row>
    <row r="458" spans="1:16" x14ac:dyDescent="0.3">
      <c r="A458" s="16"/>
      <c r="B458" s="1">
        <v>457</v>
      </c>
      <c r="C458" s="1" t="s">
        <v>179</v>
      </c>
      <c r="D458" s="1">
        <v>55163075</v>
      </c>
      <c r="E458" s="1" t="s">
        <v>529</v>
      </c>
      <c r="F458" s="1" t="s">
        <v>530</v>
      </c>
      <c r="G458" s="1" t="s">
        <v>88</v>
      </c>
      <c r="H458" s="1" t="s">
        <v>25</v>
      </c>
      <c r="I458" s="1" t="s">
        <v>184</v>
      </c>
      <c r="J458" s="1" t="s">
        <v>20</v>
      </c>
      <c r="K458" s="2" t="s">
        <v>20</v>
      </c>
      <c r="L458" s="6">
        <v>35</v>
      </c>
      <c r="M458" s="2">
        <v>1.29</v>
      </c>
      <c r="N458" s="6" t="s">
        <v>21</v>
      </c>
      <c r="O458" s="2" t="s">
        <v>41</v>
      </c>
      <c r="P458" s="8">
        <v>60000</v>
      </c>
    </row>
    <row r="459" spans="1:16" x14ac:dyDescent="0.3">
      <c r="A459" s="16"/>
      <c r="B459" s="1">
        <v>458</v>
      </c>
      <c r="C459" s="1" t="s">
        <v>179</v>
      </c>
      <c r="D459" s="1">
        <v>55541866</v>
      </c>
      <c r="E459" s="1" t="s">
        <v>531</v>
      </c>
      <c r="F459" s="1" t="s">
        <v>532</v>
      </c>
      <c r="G459" s="1" t="s">
        <v>17</v>
      </c>
      <c r="H459" s="1" t="s">
        <v>18</v>
      </c>
      <c r="I459" s="1" t="s">
        <v>30</v>
      </c>
      <c r="J459" s="1" t="s">
        <v>20</v>
      </c>
      <c r="K459" s="2" t="s">
        <v>20</v>
      </c>
      <c r="L459" s="6">
        <v>53</v>
      </c>
      <c r="M459" s="2">
        <v>0</v>
      </c>
      <c r="N459" s="6" t="s">
        <v>31</v>
      </c>
      <c r="O459" s="2" t="s">
        <v>32</v>
      </c>
      <c r="P459" s="8">
        <v>0</v>
      </c>
    </row>
    <row r="460" spans="1:16" x14ac:dyDescent="0.3">
      <c r="A460" s="16"/>
      <c r="B460" s="1">
        <v>459</v>
      </c>
      <c r="C460" s="1" t="s">
        <v>179</v>
      </c>
      <c r="D460" s="1">
        <v>811301788</v>
      </c>
      <c r="E460" s="1" t="s">
        <v>1131</v>
      </c>
      <c r="F460" s="1" t="s">
        <v>1202</v>
      </c>
      <c r="G460" s="1" t="s">
        <v>17</v>
      </c>
      <c r="H460" s="1" t="s">
        <v>25</v>
      </c>
      <c r="I460" s="1" t="s">
        <v>216</v>
      </c>
      <c r="J460" s="1" t="s">
        <v>20</v>
      </c>
      <c r="K460" s="2" t="s">
        <v>20</v>
      </c>
      <c r="L460" s="6">
        <v>45</v>
      </c>
      <c r="M460" s="2">
        <v>0.25</v>
      </c>
      <c r="N460" s="6" t="s">
        <v>21</v>
      </c>
      <c r="O460" s="2" t="s">
        <v>74</v>
      </c>
      <c r="P460" s="8">
        <v>23000</v>
      </c>
    </row>
    <row r="461" spans="1:16" x14ac:dyDescent="0.3">
      <c r="A461" s="16"/>
      <c r="B461" s="1">
        <v>460</v>
      </c>
      <c r="C461" s="1" t="s">
        <v>179</v>
      </c>
      <c r="D461" s="1">
        <v>1950681028</v>
      </c>
      <c r="E461" s="1" t="s">
        <v>1044</v>
      </c>
      <c r="F461" s="1" t="s">
        <v>225</v>
      </c>
      <c r="G461" s="1" t="s">
        <v>17</v>
      </c>
      <c r="H461" s="1" t="s">
        <v>25</v>
      </c>
      <c r="I461" s="1" t="s">
        <v>216</v>
      </c>
      <c r="J461" s="1" t="s">
        <v>20</v>
      </c>
      <c r="K461" s="2" t="s">
        <v>20</v>
      </c>
      <c r="L461" s="6">
        <v>41</v>
      </c>
      <c r="M461" s="2">
        <v>0.65</v>
      </c>
      <c r="N461" s="6" t="s">
        <v>36</v>
      </c>
      <c r="O461" s="2" t="s">
        <v>22</v>
      </c>
      <c r="P461" s="8">
        <v>36000</v>
      </c>
    </row>
    <row r="462" spans="1:16" x14ac:dyDescent="0.3">
      <c r="A462" s="16"/>
      <c r="B462" s="1">
        <v>461</v>
      </c>
      <c r="C462" s="1" t="s">
        <v>179</v>
      </c>
      <c r="D462" s="1">
        <v>811348198</v>
      </c>
      <c r="E462" s="1" t="s">
        <v>533</v>
      </c>
      <c r="F462" s="1" t="s">
        <v>350</v>
      </c>
      <c r="G462" s="1" t="s">
        <v>17</v>
      </c>
      <c r="H462" s="1" t="s">
        <v>25</v>
      </c>
      <c r="I462" s="1" t="s">
        <v>216</v>
      </c>
      <c r="J462" s="1" t="s">
        <v>20</v>
      </c>
      <c r="K462" s="2" t="s">
        <v>20</v>
      </c>
      <c r="L462" s="6">
        <v>83</v>
      </c>
      <c r="M462" s="2">
        <v>1.62</v>
      </c>
      <c r="N462" s="6" t="s">
        <v>21</v>
      </c>
      <c r="O462" s="2" t="s">
        <v>22</v>
      </c>
      <c r="P462" s="8">
        <v>45000</v>
      </c>
    </row>
    <row r="463" spans="1:16" x14ac:dyDescent="0.3">
      <c r="A463" s="16"/>
      <c r="B463" s="1">
        <v>462</v>
      </c>
      <c r="C463" s="1" t="s">
        <v>179</v>
      </c>
      <c r="D463" s="1">
        <v>1950669208</v>
      </c>
      <c r="E463" s="1" t="s">
        <v>1045</v>
      </c>
      <c r="F463" s="1" t="s">
        <v>1219</v>
      </c>
      <c r="G463" s="1" t="s">
        <v>17</v>
      </c>
      <c r="H463" s="1" t="s">
        <v>25</v>
      </c>
      <c r="I463" s="1" t="s">
        <v>216</v>
      </c>
      <c r="J463" s="1" t="s">
        <v>20</v>
      </c>
      <c r="K463" s="2" t="s">
        <v>20</v>
      </c>
      <c r="L463" s="6">
        <v>33</v>
      </c>
      <c r="M463" s="2">
        <v>0.45</v>
      </c>
      <c r="N463" s="6" t="s">
        <v>21</v>
      </c>
      <c r="O463" s="2" t="s">
        <v>74</v>
      </c>
      <c r="P463" s="8">
        <v>17000</v>
      </c>
    </row>
    <row r="464" spans="1:16" x14ac:dyDescent="0.3">
      <c r="A464" s="16"/>
      <c r="B464" s="1">
        <v>463</v>
      </c>
      <c r="C464" s="1" t="s">
        <v>179</v>
      </c>
      <c r="D464" s="1">
        <v>1950673836</v>
      </c>
      <c r="E464" s="1" t="s">
        <v>1132</v>
      </c>
      <c r="F464" s="1" t="s">
        <v>1209</v>
      </c>
      <c r="G464" s="1" t="s">
        <v>88</v>
      </c>
      <c r="H464" s="1" t="s">
        <v>18</v>
      </c>
      <c r="I464" s="1" t="s">
        <v>120</v>
      </c>
      <c r="J464" s="1" t="s">
        <v>20</v>
      </c>
      <c r="K464" s="2" t="s">
        <v>20</v>
      </c>
      <c r="L464" s="6">
        <v>77</v>
      </c>
      <c r="M464" s="2">
        <v>1.43</v>
      </c>
      <c r="N464" s="6" t="s">
        <v>58</v>
      </c>
      <c r="O464" s="2" t="s">
        <v>22</v>
      </c>
      <c r="P464" s="8">
        <v>32000</v>
      </c>
    </row>
    <row r="465" spans="1:16" x14ac:dyDescent="0.3">
      <c r="A465" s="16"/>
      <c r="B465" s="1">
        <v>464</v>
      </c>
      <c r="C465" s="1" t="s">
        <v>179</v>
      </c>
      <c r="D465" s="1">
        <v>28324987</v>
      </c>
      <c r="E465" s="1" t="s">
        <v>534</v>
      </c>
      <c r="F465" s="1" t="s">
        <v>521</v>
      </c>
      <c r="G465" s="1" t="s">
        <v>88</v>
      </c>
      <c r="H465" s="1" t="s">
        <v>18</v>
      </c>
      <c r="I465" s="1" t="s">
        <v>120</v>
      </c>
      <c r="J465" s="1" t="s">
        <v>20</v>
      </c>
      <c r="K465" s="2" t="s">
        <v>20</v>
      </c>
      <c r="L465" s="6">
        <v>83</v>
      </c>
      <c r="M465" s="2">
        <v>0.68</v>
      </c>
      <c r="N465" s="6" t="s">
        <v>21</v>
      </c>
      <c r="O465" s="2" t="s">
        <v>22</v>
      </c>
      <c r="P465" s="8">
        <v>27000</v>
      </c>
    </row>
    <row r="466" spans="1:16" x14ac:dyDescent="0.3">
      <c r="A466" s="16"/>
      <c r="B466" s="1">
        <v>465</v>
      </c>
      <c r="C466" s="1" t="s">
        <v>179</v>
      </c>
      <c r="D466" s="1">
        <v>55946174</v>
      </c>
      <c r="E466" s="1" t="s">
        <v>535</v>
      </c>
      <c r="F466" s="1" t="s">
        <v>400</v>
      </c>
      <c r="G466" s="1" t="s">
        <v>17</v>
      </c>
      <c r="H466" s="1" t="s">
        <v>18</v>
      </c>
      <c r="I466" s="1" t="s">
        <v>19</v>
      </c>
      <c r="J466" s="1" t="s">
        <v>20</v>
      </c>
      <c r="K466" s="2" t="s">
        <v>20</v>
      </c>
      <c r="L466" s="6">
        <v>30</v>
      </c>
      <c r="M466" s="2">
        <v>1.19</v>
      </c>
      <c r="N466" s="6" t="s">
        <v>21</v>
      </c>
      <c r="O466" s="2" t="s">
        <v>27</v>
      </c>
      <c r="P466" s="8">
        <v>51000</v>
      </c>
    </row>
    <row r="467" spans="1:16" x14ac:dyDescent="0.3">
      <c r="A467" s="16"/>
      <c r="B467" s="1">
        <v>466</v>
      </c>
      <c r="C467" s="1" t="s">
        <v>179</v>
      </c>
      <c r="D467" s="1">
        <v>55130788</v>
      </c>
      <c r="E467" s="1" t="s">
        <v>536</v>
      </c>
      <c r="F467" s="1" t="s">
        <v>229</v>
      </c>
      <c r="G467" s="1" t="s">
        <v>88</v>
      </c>
      <c r="H467" s="1" t="s">
        <v>18</v>
      </c>
      <c r="I467" s="1" t="s">
        <v>120</v>
      </c>
      <c r="J467" s="1" t="s">
        <v>20</v>
      </c>
      <c r="K467" s="2" t="s">
        <v>20</v>
      </c>
      <c r="L467" s="6">
        <v>60</v>
      </c>
      <c r="M467" s="2">
        <v>7.18</v>
      </c>
      <c r="N467" s="6" t="s">
        <v>58</v>
      </c>
      <c r="O467" s="2" t="s">
        <v>41</v>
      </c>
      <c r="P467" s="8">
        <v>149000</v>
      </c>
    </row>
    <row r="468" spans="1:16" x14ac:dyDescent="0.3">
      <c r="A468" s="16"/>
      <c r="B468" s="1">
        <v>467</v>
      </c>
      <c r="C468" s="1" t="s">
        <v>179</v>
      </c>
      <c r="D468" s="1">
        <v>811302656</v>
      </c>
      <c r="E468" s="1" t="s">
        <v>1133</v>
      </c>
      <c r="F468" s="1" t="s">
        <v>1275</v>
      </c>
      <c r="G468" s="1" t="s">
        <v>88</v>
      </c>
      <c r="H468" s="1" t="s">
        <v>25</v>
      </c>
      <c r="I468" s="1" t="s">
        <v>216</v>
      </c>
      <c r="J468" s="1" t="s">
        <v>20</v>
      </c>
      <c r="K468" s="2" t="s">
        <v>20</v>
      </c>
      <c r="L468" s="6">
        <v>39</v>
      </c>
      <c r="M468" s="2">
        <v>0.41</v>
      </c>
      <c r="N468" s="6" t="s">
        <v>58</v>
      </c>
      <c r="O468" s="2" t="s">
        <v>59</v>
      </c>
      <c r="P468" s="8">
        <v>9000</v>
      </c>
    </row>
    <row r="469" spans="1:16" x14ac:dyDescent="0.3">
      <c r="A469" s="16"/>
      <c r="B469" s="1">
        <v>468</v>
      </c>
      <c r="C469" s="1" t="s">
        <v>179</v>
      </c>
      <c r="D469" s="1">
        <v>55554002</v>
      </c>
      <c r="E469" s="1" t="s">
        <v>537</v>
      </c>
      <c r="F469" s="1" t="s">
        <v>538</v>
      </c>
      <c r="G469" s="1" t="s">
        <v>17</v>
      </c>
      <c r="H469" s="1" t="s">
        <v>25</v>
      </c>
      <c r="I469" s="1" t="s">
        <v>184</v>
      </c>
      <c r="J469" s="1" t="s">
        <v>1015</v>
      </c>
      <c r="K469" s="2" t="s">
        <v>1015</v>
      </c>
      <c r="L469" s="6">
        <v>72</v>
      </c>
      <c r="M469" s="2">
        <v>2.35</v>
      </c>
      <c r="N469" s="6" t="s">
        <v>58</v>
      </c>
      <c r="O469" s="2" t="s">
        <v>22</v>
      </c>
      <c r="P469" s="8">
        <v>92000</v>
      </c>
    </row>
    <row r="470" spans="1:16" x14ac:dyDescent="0.3">
      <c r="A470" s="16"/>
      <c r="B470" s="1">
        <v>469</v>
      </c>
      <c r="C470" s="1" t="s">
        <v>179</v>
      </c>
      <c r="D470" s="1">
        <v>47905856</v>
      </c>
      <c r="E470" s="1" t="s">
        <v>539</v>
      </c>
      <c r="F470" s="1" t="s">
        <v>229</v>
      </c>
      <c r="G470" s="1" t="s">
        <v>17</v>
      </c>
      <c r="H470" s="1" t="s">
        <v>18</v>
      </c>
      <c r="I470" s="1" t="s">
        <v>19</v>
      </c>
      <c r="J470" s="1" t="s">
        <v>20</v>
      </c>
      <c r="K470" s="2" t="s">
        <v>20</v>
      </c>
      <c r="L470" s="6">
        <v>55</v>
      </c>
      <c r="M470" s="2">
        <v>4.41</v>
      </c>
      <c r="N470" s="6" t="s">
        <v>21</v>
      </c>
      <c r="O470" s="2" t="s">
        <v>74</v>
      </c>
      <c r="P470" s="8">
        <v>312000</v>
      </c>
    </row>
    <row r="471" spans="1:16" x14ac:dyDescent="0.3">
      <c r="A471" s="16"/>
      <c r="B471" s="1">
        <v>470</v>
      </c>
      <c r="C471" s="1" t="s">
        <v>179</v>
      </c>
      <c r="D471" s="1">
        <v>22243888</v>
      </c>
      <c r="E471" s="1" t="s">
        <v>540</v>
      </c>
      <c r="F471" s="1" t="s">
        <v>285</v>
      </c>
      <c r="G471" s="1" t="s">
        <v>17</v>
      </c>
      <c r="H471" s="1" t="s">
        <v>18</v>
      </c>
      <c r="I471" s="1" t="s">
        <v>19</v>
      </c>
      <c r="J471" s="1" t="s">
        <v>20</v>
      </c>
      <c r="K471" s="2" t="s">
        <v>20</v>
      </c>
      <c r="L471" s="6">
        <v>47</v>
      </c>
      <c r="M471" s="2">
        <v>1.79</v>
      </c>
      <c r="N471" s="6" t="s">
        <v>58</v>
      </c>
      <c r="O471" s="2" t="s">
        <v>27</v>
      </c>
      <c r="P471" s="8">
        <v>61000</v>
      </c>
    </row>
    <row r="472" spans="1:16" x14ac:dyDescent="0.3">
      <c r="A472" s="16"/>
      <c r="B472" s="1">
        <v>471</v>
      </c>
      <c r="C472" s="1" t="s">
        <v>179</v>
      </c>
      <c r="D472" s="1">
        <v>55573085</v>
      </c>
      <c r="E472" s="1" t="s">
        <v>541</v>
      </c>
      <c r="F472" s="1" t="s">
        <v>542</v>
      </c>
      <c r="G472" s="1" t="s">
        <v>17</v>
      </c>
      <c r="H472" s="1" t="s">
        <v>18</v>
      </c>
      <c r="I472" s="1" t="s">
        <v>19</v>
      </c>
      <c r="J472" s="1" t="s">
        <v>1015</v>
      </c>
      <c r="K472" s="2" t="s">
        <v>1015</v>
      </c>
      <c r="L472" s="6">
        <v>29</v>
      </c>
      <c r="M472" s="2">
        <v>3.15</v>
      </c>
      <c r="N472" s="6" t="s">
        <v>21</v>
      </c>
      <c r="O472" s="2" t="s">
        <v>22</v>
      </c>
      <c r="P472" s="8">
        <v>111000</v>
      </c>
    </row>
    <row r="473" spans="1:16" x14ac:dyDescent="0.3">
      <c r="A473" s="16"/>
      <c r="B473" s="1">
        <v>472</v>
      </c>
      <c r="C473" s="1" t="s">
        <v>179</v>
      </c>
      <c r="D473" s="1">
        <v>54644765</v>
      </c>
      <c r="E473" s="1" t="s">
        <v>543</v>
      </c>
      <c r="F473" s="1" t="s">
        <v>544</v>
      </c>
      <c r="G473" s="1" t="s">
        <v>17</v>
      </c>
      <c r="H473" s="1" t="s">
        <v>18</v>
      </c>
      <c r="I473" s="1" t="s">
        <v>30</v>
      </c>
      <c r="J473" s="1" t="s">
        <v>20</v>
      </c>
      <c r="K473" s="2" t="s">
        <v>20</v>
      </c>
      <c r="L473" s="6">
        <v>58</v>
      </c>
      <c r="M473" s="2">
        <v>0</v>
      </c>
      <c r="N473" s="6" t="s">
        <v>31</v>
      </c>
      <c r="O473" s="2" t="s">
        <v>32</v>
      </c>
      <c r="P473" s="8">
        <v>0</v>
      </c>
    </row>
    <row r="474" spans="1:16" x14ac:dyDescent="0.3">
      <c r="A474" s="16"/>
      <c r="B474" s="1">
        <v>473</v>
      </c>
      <c r="C474" s="1" t="s">
        <v>179</v>
      </c>
      <c r="D474" s="1">
        <v>55542478</v>
      </c>
      <c r="E474" s="1" t="s">
        <v>545</v>
      </c>
      <c r="F474" s="1" t="s">
        <v>546</v>
      </c>
      <c r="G474" s="1" t="s">
        <v>17</v>
      </c>
      <c r="H474" s="1" t="s">
        <v>25</v>
      </c>
      <c r="I474" s="1" t="s">
        <v>184</v>
      </c>
      <c r="J474" s="1" t="s">
        <v>1015</v>
      </c>
      <c r="K474" s="2" t="s">
        <v>1015</v>
      </c>
      <c r="L474" s="6">
        <v>29</v>
      </c>
      <c r="M474" s="2">
        <v>1.74</v>
      </c>
      <c r="N474" s="6" t="s">
        <v>36</v>
      </c>
      <c r="O474" s="2" t="s">
        <v>74</v>
      </c>
      <c r="P474" s="8">
        <v>110000</v>
      </c>
    </row>
    <row r="475" spans="1:16" x14ac:dyDescent="0.3">
      <c r="A475" s="16"/>
      <c r="B475" s="1">
        <v>474</v>
      </c>
      <c r="C475" s="1" t="s">
        <v>179</v>
      </c>
      <c r="D475" s="1">
        <v>55131273</v>
      </c>
      <c r="E475" s="1" t="s">
        <v>1134</v>
      </c>
      <c r="F475" s="1" t="s">
        <v>1276</v>
      </c>
      <c r="G475" s="1" t="s">
        <v>17</v>
      </c>
      <c r="H475" s="1" t="s">
        <v>18</v>
      </c>
      <c r="I475" s="1" t="s">
        <v>120</v>
      </c>
      <c r="J475" s="1" t="s">
        <v>20</v>
      </c>
      <c r="K475" s="2" t="s">
        <v>20</v>
      </c>
      <c r="L475" s="6">
        <v>39</v>
      </c>
      <c r="M475" s="2">
        <v>2.81</v>
      </c>
      <c r="N475" s="6" t="s">
        <v>21</v>
      </c>
      <c r="O475" s="2" t="s">
        <v>41</v>
      </c>
      <c r="P475" s="8">
        <v>71000</v>
      </c>
    </row>
    <row r="476" spans="1:16" x14ac:dyDescent="0.3">
      <c r="A476" s="16"/>
      <c r="B476" s="1">
        <v>475</v>
      </c>
      <c r="C476" s="1" t="s">
        <v>179</v>
      </c>
      <c r="D476" s="1">
        <v>54667216</v>
      </c>
      <c r="E476" s="1" t="s">
        <v>547</v>
      </c>
      <c r="F476" s="1" t="s">
        <v>548</v>
      </c>
      <c r="G476" s="1" t="s">
        <v>88</v>
      </c>
      <c r="H476" s="1" t="s">
        <v>25</v>
      </c>
      <c r="I476" s="1" t="s">
        <v>184</v>
      </c>
      <c r="J476" s="1" t="s">
        <v>1015</v>
      </c>
      <c r="K476" s="2" t="s">
        <v>1015</v>
      </c>
      <c r="L476" s="6">
        <v>49</v>
      </c>
      <c r="M476" s="2">
        <v>0.5</v>
      </c>
      <c r="N476" s="6" t="s">
        <v>21</v>
      </c>
      <c r="O476" s="2" t="s">
        <v>59</v>
      </c>
      <c r="P476" s="8">
        <v>12000</v>
      </c>
    </row>
    <row r="477" spans="1:16" x14ac:dyDescent="0.3">
      <c r="A477" s="16"/>
      <c r="B477" s="1">
        <v>476</v>
      </c>
      <c r="C477" s="1" t="s">
        <v>179</v>
      </c>
      <c r="D477" s="1">
        <v>811346026</v>
      </c>
      <c r="E477" s="1" t="s">
        <v>549</v>
      </c>
      <c r="F477" s="1" t="s">
        <v>550</v>
      </c>
      <c r="G477" s="1" t="s">
        <v>17</v>
      </c>
      <c r="H477" s="1" t="s">
        <v>18</v>
      </c>
      <c r="I477" s="1" t="s">
        <v>30</v>
      </c>
      <c r="J477" s="1" t="s">
        <v>20</v>
      </c>
      <c r="K477" s="2" t="s">
        <v>20</v>
      </c>
      <c r="L477" s="6">
        <v>27</v>
      </c>
      <c r="M477" s="2">
        <v>0</v>
      </c>
      <c r="N477" s="6" t="s">
        <v>31</v>
      </c>
      <c r="O477" s="2" t="s">
        <v>32</v>
      </c>
      <c r="P477" s="8">
        <v>0</v>
      </c>
    </row>
    <row r="478" spans="1:16" x14ac:dyDescent="0.3">
      <c r="A478" s="16"/>
      <c r="B478" s="1">
        <v>477</v>
      </c>
      <c r="C478" s="1" t="s">
        <v>179</v>
      </c>
      <c r="D478" s="1">
        <v>811303221</v>
      </c>
      <c r="E478" s="1" t="s">
        <v>1135</v>
      </c>
      <c r="F478" s="1" t="s">
        <v>1277</v>
      </c>
      <c r="G478" s="1" t="s">
        <v>17</v>
      </c>
      <c r="H478" s="1" t="s">
        <v>25</v>
      </c>
      <c r="I478" s="1" t="s">
        <v>216</v>
      </c>
      <c r="J478" s="1" t="s">
        <v>20</v>
      </c>
      <c r="K478" s="2" t="s">
        <v>20</v>
      </c>
      <c r="L478" s="6">
        <v>72</v>
      </c>
      <c r="M478" s="2">
        <v>1.59</v>
      </c>
      <c r="N478" s="6" t="s">
        <v>21</v>
      </c>
      <c r="O478" s="2" t="s">
        <v>22</v>
      </c>
      <c r="P478" s="8">
        <v>79000</v>
      </c>
    </row>
    <row r="479" spans="1:16" x14ac:dyDescent="0.3">
      <c r="A479" s="16"/>
      <c r="B479" s="1">
        <v>478</v>
      </c>
      <c r="C479" s="1" t="s">
        <v>179</v>
      </c>
      <c r="D479" s="1">
        <v>55536638</v>
      </c>
      <c r="E479" s="1" t="s">
        <v>1136</v>
      </c>
      <c r="F479" s="1" t="s">
        <v>908</v>
      </c>
      <c r="G479" s="1" t="s">
        <v>17</v>
      </c>
      <c r="H479" s="1" t="s">
        <v>18</v>
      </c>
      <c r="I479" s="1" t="s">
        <v>19</v>
      </c>
      <c r="J479" s="1" t="s">
        <v>20</v>
      </c>
      <c r="K479" s="2" t="s">
        <v>20</v>
      </c>
      <c r="L479" s="6">
        <v>40</v>
      </c>
      <c r="M479" s="2">
        <v>2.13</v>
      </c>
      <c r="N479" s="6" t="s">
        <v>21</v>
      </c>
      <c r="O479" s="2" t="s">
        <v>361</v>
      </c>
      <c r="P479" s="8">
        <v>76000</v>
      </c>
    </row>
    <row r="480" spans="1:16" x14ac:dyDescent="0.3">
      <c r="A480" s="16"/>
      <c r="B480" s="1">
        <v>479</v>
      </c>
      <c r="C480" s="1" t="s">
        <v>179</v>
      </c>
      <c r="D480" s="1">
        <v>55552042</v>
      </c>
      <c r="E480" s="1" t="s">
        <v>551</v>
      </c>
      <c r="F480" s="1" t="s">
        <v>552</v>
      </c>
      <c r="G480" s="1" t="s">
        <v>17</v>
      </c>
      <c r="H480" s="1" t="s">
        <v>25</v>
      </c>
      <c r="I480" s="1" t="s">
        <v>184</v>
      </c>
      <c r="J480" s="1" t="s">
        <v>1015</v>
      </c>
      <c r="K480" s="2" t="s">
        <v>1015</v>
      </c>
      <c r="L480" s="6">
        <v>82</v>
      </c>
      <c r="M480" s="2">
        <v>0.64</v>
      </c>
      <c r="N480" s="6" t="s">
        <v>21</v>
      </c>
      <c r="O480" s="2" t="s">
        <v>59</v>
      </c>
      <c r="P480" s="8">
        <v>12000</v>
      </c>
    </row>
    <row r="481" spans="1:16" x14ac:dyDescent="0.3">
      <c r="A481" s="16"/>
      <c r="B481" s="1">
        <v>480</v>
      </c>
      <c r="C481" s="1" t="s">
        <v>179</v>
      </c>
      <c r="D481" s="1">
        <v>54117607</v>
      </c>
      <c r="E481" s="1" t="s">
        <v>553</v>
      </c>
      <c r="F481" s="1" t="s">
        <v>554</v>
      </c>
      <c r="G481" s="1" t="s">
        <v>17</v>
      </c>
      <c r="H481" s="1" t="s">
        <v>18</v>
      </c>
      <c r="I481" s="1" t="s">
        <v>19</v>
      </c>
      <c r="J481" s="1" t="s">
        <v>20</v>
      </c>
      <c r="K481" s="2" t="s">
        <v>20</v>
      </c>
      <c r="L481" s="6">
        <v>53</v>
      </c>
      <c r="M481" s="2">
        <v>1.63</v>
      </c>
      <c r="N481" s="6" t="s">
        <v>21</v>
      </c>
      <c r="O481" s="2" t="s">
        <v>55</v>
      </c>
      <c r="P481" s="8">
        <v>56000</v>
      </c>
    </row>
    <row r="482" spans="1:16" x14ac:dyDescent="0.3">
      <c r="A482" s="16"/>
      <c r="B482" s="1">
        <v>481</v>
      </c>
      <c r="C482" s="1" t="s">
        <v>179</v>
      </c>
      <c r="D482" s="1">
        <v>54095231</v>
      </c>
      <c r="E482" s="1" t="s">
        <v>1137</v>
      </c>
      <c r="F482" s="1" t="s">
        <v>1255</v>
      </c>
      <c r="G482" s="1" t="s">
        <v>17</v>
      </c>
      <c r="H482" s="1" t="s">
        <v>18</v>
      </c>
      <c r="I482" s="1" t="s">
        <v>19</v>
      </c>
      <c r="J482" s="1" t="s">
        <v>20</v>
      </c>
      <c r="K482" s="2" t="s">
        <v>20</v>
      </c>
      <c r="L482" s="6">
        <v>70</v>
      </c>
      <c r="M482" s="2">
        <v>3.97</v>
      </c>
      <c r="N482" s="6" t="s">
        <v>21</v>
      </c>
      <c r="O482" s="2" t="s">
        <v>41</v>
      </c>
      <c r="P482" s="8">
        <v>160000</v>
      </c>
    </row>
    <row r="483" spans="1:16" x14ac:dyDescent="0.3">
      <c r="A483" s="16"/>
      <c r="B483" s="1">
        <v>482</v>
      </c>
      <c r="C483" s="1" t="s">
        <v>179</v>
      </c>
      <c r="D483" s="1">
        <v>55589390</v>
      </c>
      <c r="E483" s="1" t="s">
        <v>555</v>
      </c>
      <c r="F483" s="1" t="s">
        <v>556</v>
      </c>
      <c r="G483" s="1" t="s">
        <v>17</v>
      </c>
      <c r="H483" s="1" t="s">
        <v>25</v>
      </c>
      <c r="I483" s="1" t="s">
        <v>184</v>
      </c>
      <c r="J483" s="1" t="s">
        <v>1015</v>
      </c>
      <c r="K483" s="2" t="s">
        <v>1015</v>
      </c>
      <c r="L483" s="6">
        <v>78</v>
      </c>
      <c r="M483" s="2">
        <v>0.37</v>
      </c>
      <c r="N483" s="6" t="s">
        <v>21</v>
      </c>
      <c r="O483" s="2" t="s">
        <v>55</v>
      </c>
      <c r="P483" s="8">
        <v>13000</v>
      </c>
    </row>
    <row r="484" spans="1:16" x14ac:dyDescent="0.3">
      <c r="A484" s="16"/>
      <c r="B484" s="1">
        <v>483</v>
      </c>
      <c r="C484" s="1" t="s">
        <v>179</v>
      </c>
      <c r="D484" s="1">
        <v>1950669306</v>
      </c>
      <c r="E484" s="1" t="s">
        <v>1047</v>
      </c>
      <c r="F484" s="1" t="s">
        <v>350</v>
      </c>
      <c r="G484" s="1" t="s">
        <v>17</v>
      </c>
      <c r="H484" s="1" t="s">
        <v>18</v>
      </c>
      <c r="I484" s="1" t="s">
        <v>30</v>
      </c>
      <c r="J484" s="1" t="s">
        <v>20</v>
      </c>
      <c r="K484" s="2" t="s">
        <v>20</v>
      </c>
      <c r="L484" s="6">
        <v>54</v>
      </c>
      <c r="M484" s="2">
        <v>0</v>
      </c>
      <c r="N484" s="6" t="s">
        <v>31</v>
      </c>
      <c r="O484" s="2" t="s">
        <v>32</v>
      </c>
      <c r="P484" s="8">
        <v>0</v>
      </c>
    </row>
    <row r="485" spans="1:16" x14ac:dyDescent="0.3">
      <c r="A485" s="16"/>
      <c r="B485" s="1">
        <v>484</v>
      </c>
      <c r="C485" s="1" t="s">
        <v>179</v>
      </c>
      <c r="D485" s="1">
        <v>55955445</v>
      </c>
      <c r="E485" s="1" t="s">
        <v>116</v>
      </c>
      <c r="F485" s="1" t="s">
        <v>117</v>
      </c>
      <c r="G485" s="1" t="s">
        <v>17</v>
      </c>
      <c r="H485" s="1" t="s">
        <v>18</v>
      </c>
      <c r="I485" s="1" t="s">
        <v>30</v>
      </c>
      <c r="J485" s="1" t="s">
        <v>20</v>
      </c>
      <c r="K485" s="2" t="s">
        <v>20</v>
      </c>
      <c r="L485" s="6">
        <v>68</v>
      </c>
      <c r="M485" s="2">
        <v>0</v>
      </c>
      <c r="N485" s="6" t="s">
        <v>31</v>
      </c>
      <c r="O485" s="2" t="s">
        <v>32</v>
      </c>
      <c r="P485" s="8">
        <v>0</v>
      </c>
    </row>
    <row r="486" spans="1:16" x14ac:dyDescent="0.3">
      <c r="A486" s="16"/>
      <c r="B486" s="1">
        <v>485</v>
      </c>
      <c r="C486" s="1" t="s">
        <v>179</v>
      </c>
      <c r="D486" s="1">
        <v>55144992</v>
      </c>
      <c r="E486" s="1" t="s">
        <v>1138</v>
      </c>
      <c r="F486" s="1" t="s">
        <v>380</v>
      </c>
      <c r="G486" s="1" t="s">
        <v>88</v>
      </c>
      <c r="H486" s="1" t="s">
        <v>18</v>
      </c>
      <c r="I486" s="1" t="s">
        <v>120</v>
      </c>
      <c r="J486" s="1" t="s">
        <v>20</v>
      </c>
      <c r="K486" s="2" t="s">
        <v>20</v>
      </c>
      <c r="L486" s="6">
        <v>32</v>
      </c>
      <c r="M486" s="2">
        <v>3.51</v>
      </c>
      <c r="N486" s="6" t="s">
        <v>21</v>
      </c>
      <c r="O486" s="2" t="s">
        <v>27</v>
      </c>
      <c r="P486" s="8">
        <v>107000</v>
      </c>
    </row>
    <row r="487" spans="1:16" x14ac:dyDescent="0.3">
      <c r="A487" s="16"/>
      <c r="B487" s="1">
        <v>486</v>
      </c>
      <c r="C487" s="1" t="s">
        <v>179</v>
      </c>
      <c r="D487" s="1">
        <v>54638378</v>
      </c>
      <c r="E487" s="1" t="s">
        <v>557</v>
      </c>
      <c r="F487" s="1" t="s">
        <v>558</v>
      </c>
      <c r="G487" s="1" t="s">
        <v>88</v>
      </c>
      <c r="H487" s="1" t="s">
        <v>25</v>
      </c>
      <c r="I487" s="1" t="s">
        <v>184</v>
      </c>
      <c r="J487" s="1" t="s">
        <v>1015</v>
      </c>
      <c r="K487" s="2" t="s">
        <v>1015</v>
      </c>
      <c r="L487" s="6">
        <v>68</v>
      </c>
      <c r="M487" s="2">
        <v>0.92</v>
      </c>
      <c r="N487" s="6" t="s">
        <v>21</v>
      </c>
      <c r="O487" s="2" t="s">
        <v>55</v>
      </c>
      <c r="P487" s="8">
        <v>22000</v>
      </c>
    </row>
    <row r="488" spans="1:16" x14ac:dyDescent="0.3">
      <c r="A488" s="16"/>
      <c r="B488" s="1">
        <v>487</v>
      </c>
      <c r="C488" s="1" t="s">
        <v>179</v>
      </c>
      <c r="D488" s="1">
        <v>55117991</v>
      </c>
      <c r="E488" s="1" t="s">
        <v>559</v>
      </c>
      <c r="F488" s="1" t="s">
        <v>380</v>
      </c>
      <c r="G488" s="1" t="s">
        <v>88</v>
      </c>
      <c r="H488" s="1" t="s">
        <v>18</v>
      </c>
      <c r="I488" s="1" t="s">
        <v>120</v>
      </c>
      <c r="J488" s="1" t="s">
        <v>20</v>
      </c>
      <c r="K488" s="2" t="s">
        <v>20</v>
      </c>
      <c r="L488" s="6">
        <v>66</v>
      </c>
      <c r="M488" s="2">
        <v>1.0900000000000001</v>
      </c>
      <c r="N488" s="6" t="s">
        <v>21</v>
      </c>
      <c r="O488" s="2" t="s">
        <v>22</v>
      </c>
      <c r="P488" s="8">
        <v>49000</v>
      </c>
    </row>
    <row r="489" spans="1:16" x14ac:dyDescent="0.3">
      <c r="A489" s="16"/>
      <c r="B489" s="1">
        <v>488</v>
      </c>
      <c r="C489" s="1" t="s">
        <v>179</v>
      </c>
      <c r="D489" s="1">
        <v>54669369</v>
      </c>
      <c r="E489" s="1" t="s">
        <v>1139</v>
      </c>
      <c r="F489" s="1" t="s">
        <v>1266</v>
      </c>
      <c r="G489" s="1" t="s">
        <v>17</v>
      </c>
      <c r="H489" s="1" t="s">
        <v>18</v>
      </c>
      <c r="I489" s="1" t="s">
        <v>19</v>
      </c>
      <c r="J489" s="1" t="s">
        <v>20</v>
      </c>
      <c r="K489" s="2" t="s">
        <v>20</v>
      </c>
      <c r="L489" s="6">
        <v>74</v>
      </c>
      <c r="M489" s="2">
        <v>1.36</v>
      </c>
      <c r="N489" s="6" t="s">
        <v>36</v>
      </c>
      <c r="O489" s="2" t="s">
        <v>22</v>
      </c>
      <c r="P489" s="8">
        <v>50000</v>
      </c>
    </row>
    <row r="490" spans="1:16" x14ac:dyDescent="0.3">
      <c r="A490" s="16"/>
      <c r="B490" s="1">
        <v>489</v>
      </c>
      <c r="C490" s="1" t="s">
        <v>179</v>
      </c>
      <c r="D490" s="1">
        <v>55966966</v>
      </c>
      <c r="E490" s="1" t="s">
        <v>560</v>
      </c>
      <c r="F490" s="1" t="s">
        <v>561</v>
      </c>
      <c r="G490" s="1" t="s">
        <v>17</v>
      </c>
      <c r="H490" s="1" t="s">
        <v>18</v>
      </c>
      <c r="I490" s="1" t="s">
        <v>30</v>
      </c>
      <c r="J490" s="1" t="s">
        <v>1015</v>
      </c>
      <c r="K490" s="2" t="s">
        <v>1015</v>
      </c>
      <c r="L490" s="6">
        <v>39</v>
      </c>
      <c r="M490" s="2">
        <v>0</v>
      </c>
      <c r="N490" s="6" t="s">
        <v>31</v>
      </c>
      <c r="O490" s="2" t="s">
        <v>32</v>
      </c>
      <c r="P490" s="8">
        <v>0</v>
      </c>
    </row>
    <row r="491" spans="1:16" x14ac:dyDescent="0.3">
      <c r="A491" s="16"/>
      <c r="B491" s="1">
        <v>490</v>
      </c>
      <c r="C491" s="1" t="s">
        <v>179</v>
      </c>
      <c r="D491" s="1">
        <v>55168715</v>
      </c>
      <c r="E491" s="1" t="s">
        <v>562</v>
      </c>
      <c r="F491" s="1" t="s">
        <v>563</v>
      </c>
      <c r="G491" s="1" t="s">
        <v>88</v>
      </c>
      <c r="H491" s="1" t="s">
        <v>18</v>
      </c>
      <c r="I491" s="1" t="s">
        <v>120</v>
      </c>
      <c r="J491" s="1" t="s">
        <v>20</v>
      </c>
      <c r="K491" s="2" t="s">
        <v>20</v>
      </c>
      <c r="L491" s="6">
        <v>42</v>
      </c>
      <c r="M491" s="2">
        <v>0.9</v>
      </c>
      <c r="N491" s="6" t="s">
        <v>21</v>
      </c>
      <c r="O491" s="2" t="s">
        <v>22</v>
      </c>
      <c r="P491" s="8">
        <v>20000</v>
      </c>
    </row>
    <row r="492" spans="1:16" x14ac:dyDescent="0.3">
      <c r="A492" s="16"/>
      <c r="B492" s="1">
        <v>491</v>
      </c>
      <c r="C492" s="1" t="s">
        <v>179</v>
      </c>
      <c r="D492" s="1">
        <v>55501965</v>
      </c>
      <c r="E492" s="1" t="s">
        <v>564</v>
      </c>
      <c r="F492" s="1" t="s">
        <v>565</v>
      </c>
      <c r="G492" s="1" t="s">
        <v>17</v>
      </c>
      <c r="H492" s="1" t="s">
        <v>18</v>
      </c>
      <c r="I492" s="1" t="s">
        <v>19</v>
      </c>
      <c r="J492" s="1" t="s">
        <v>20</v>
      </c>
      <c r="K492" s="2" t="s">
        <v>20</v>
      </c>
      <c r="L492" s="6">
        <v>33</v>
      </c>
      <c r="M492" s="2">
        <v>0.5</v>
      </c>
      <c r="N492" s="6" t="s">
        <v>21</v>
      </c>
      <c r="O492" s="2" t="s">
        <v>27</v>
      </c>
      <c r="P492" s="8">
        <v>26000</v>
      </c>
    </row>
    <row r="493" spans="1:16" x14ac:dyDescent="0.3">
      <c r="A493" s="16"/>
      <c r="B493" s="1">
        <v>492</v>
      </c>
      <c r="C493" s="1" t="s">
        <v>179</v>
      </c>
      <c r="D493" s="1">
        <v>54642418</v>
      </c>
      <c r="E493" s="1" t="s">
        <v>566</v>
      </c>
      <c r="F493" s="1" t="s">
        <v>567</v>
      </c>
      <c r="G493" s="1" t="s">
        <v>17</v>
      </c>
      <c r="H493" s="1" t="s">
        <v>25</v>
      </c>
      <c r="I493" s="1" t="s">
        <v>184</v>
      </c>
      <c r="J493" s="1" t="s">
        <v>1015</v>
      </c>
      <c r="K493" s="2" t="s">
        <v>1015</v>
      </c>
      <c r="L493" s="6">
        <v>57</v>
      </c>
      <c r="M493" s="2">
        <v>1.47</v>
      </c>
      <c r="N493" s="6" t="s">
        <v>58</v>
      </c>
      <c r="O493" s="2" t="s">
        <v>195</v>
      </c>
      <c r="P493" s="8">
        <v>75000</v>
      </c>
    </row>
    <row r="494" spans="1:16" x14ac:dyDescent="0.3">
      <c r="A494" s="16"/>
      <c r="B494" s="1">
        <v>493</v>
      </c>
      <c r="C494" s="1" t="s">
        <v>179</v>
      </c>
      <c r="D494" s="1">
        <v>55452363</v>
      </c>
      <c r="E494" s="1" t="s">
        <v>568</v>
      </c>
      <c r="F494" s="1" t="s">
        <v>569</v>
      </c>
      <c r="G494" s="1" t="s">
        <v>17</v>
      </c>
      <c r="H494" s="1" t="s">
        <v>25</v>
      </c>
      <c r="I494" s="1" t="s">
        <v>216</v>
      </c>
      <c r="J494" s="1" t="s">
        <v>20</v>
      </c>
      <c r="K494" s="2" t="s">
        <v>20</v>
      </c>
      <c r="L494" s="6">
        <v>84</v>
      </c>
      <c r="M494" s="2">
        <v>3.98</v>
      </c>
      <c r="N494" s="6" t="s">
        <v>21</v>
      </c>
      <c r="O494" s="2" t="s">
        <v>55</v>
      </c>
      <c r="P494" s="8">
        <v>91000</v>
      </c>
    </row>
    <row r="495" spans="1:16" x14ac:dyDescent="0.3">
      <c r="A495" s="16"/>
      <c r="B495" s="1">
        <v>494</v>
      </c>
      <c r="C495" s="1" t="s">
        <v>179</v>
      </c>
      <c r="D495" s="1">
        <v>22261923</v>
      </c>
      <c r="E495" s="1" t="s">
        <v>570</v>
      </c>
      <c r="F495" s="1" t="s">
        <v>571</v>
      </c>
      <c r="G495" s="1" t="s">
        <v>17</v>
      </c>
      <c r="H495" s="1" t="s">
        <v>18</v>
      </c>
      <c r="I495" s="1" t="s">
        <v>19</v>
      </c>
      <c r="J495" s="1" t="s">
        <v>20</v>
      </c>
      <c r="K495" s="2" t="s">
        <v>20</v>
      </c>
      <c r="L495" s="6">
        <v>61</v>
      </c>
      <c r="M495" s="2">
        <v>3.36</v>
      </c>
      <c r="N495" s="6" t="s">
        <v>21</v>
      </c>
      <c r="O495" s="2" t="s">
        <v>41</v>
      </c>
      <c r="P495" s="8">
        <v>118000</v>
      </c>
    </row>
    <row r="496" spans="1:16" x14ac:dyDescent="0.3">
      <c r="A496" s="16"/>
      <c r="B496" s="1">
        <v>495</v>
      </c>
      <c r="C496" s="1" t="s">
        <v>179</v>
      </c>
      <c r="D496" s="1">
        <v>55164421</v>
      </c>
      <c r="E496" s="1" t="s">
        <v>1140</v>
      </c>
      <c r="F496" s="1" t="s">
        <v>1278</v>
      </c>
      <c r="G496" s="1" t="s">
        <v>88</v>
      </c>
      <c r="H496" s="1" t="s">
        <v>18</v>
      </c>
      <c r="I496" s="1" t="s">
        <v>120</v>
      </c>
      <c r="J496" s="1" t="s">
        <v>1015</v>
      </c>
      <c r="K496" s="2" t="s">
        <v>1015</v>
      </c>
      <c r="L496" s="6">
        <v>75</v>
      </c>
      <c r="M496" s="2">
        <v>0.57999999999999996</v>
      </c>
      <c r="N496" s="6" t="s">
        <v>21</v>
      </c>
      <c r="O496" s="2" t="s">
        <v>22</v>
      </c>
      <c r="P496" s="8">
        <v>28000</v>
      </c>
    </row>
    <row r="497" spans="1:16" x14ac:dyDescent="0.3">
      <c r="A497" s="16"/>
      <c r="B497" s="1">
        <v>496</v>
      </c>
      <c r="C497" s="1" t="s">
        <v>179</v>
      </c>
      <c r="D497" s="1">
        <v>55553028</v>
      </c>
      <c r="E497" s="1" t="s">
        <v>572</v>
      </c>
      <c r="F497" s="1" t="s">
        <v>552</v>
      </c>
      <c r="G497" s="1" t="s">
        <v>17</v>
      </c>
      <c r="H497" s="1" t="s">
        <v>25</v>
      </c>
      <c r="I497" s="1" t="s">
        <v>184</v>
      </c>
      <c r="J497" s="1" t="s">
        <v>1015</v>
      </c>
      <c r="K497" s="2" t="s">
        <v>1015</v>
      </c>
      <c r="L497" s="6">
        <v>44</v>
      </c>
      <c r="M497" s="2">
        <v>2.16</v>
      </c>
      <c r="N497" s="6" t="s">
        <v>21</v>
      </c>
      <c r="O497" s="2" t="s">
        <v>27</v>
      </c>
      <c r="P497" s="8">
        <v>83000</v>
      </c>
    </row>
    <row r="498" spans="1:16" x14ac:dyDescent="0.3">
      <c r="A498" s="16"/>
      <c r="B498" s="1">
        <v>497</v>
      </c>
      <c r="C498" s="1" t="s">
        <v>179</v>
      </c>
      <c r="D498" s="1">
        <v>811306605</v>
      </c>
      <c r="E498" s="1" t="s">
        <v>573</v>
      </c>
      <c r="F498" s="1" t="s">
        <v>574</v>
      </c>
      <c r="G498" s="1" t="s">
        <v>17</v>
      </c>
      <c r="H498" s="1" t="s">
        <v>18</v>
      </c>
      <c r="I498" s="1" t="s">
        <v>19</v>
      </c>
      <c r="J498" s="1" t="s">
        <v>20</v>
      </c>
      <c r="K498" s="2" t="s">
        <v>20</v>
      </c>
      <c r="L498" s="6">
        <v>37</v>
      </c>
      <c r="M498" s="2">
        <v>2.36</v>
      </c>
      <c r="N498" s="6" t="s">
        <v>21</v>
      </c>
      <c r="O498" s="2" t="s">
        <v>195</v>
      </c>
      <c r="P498" s="8">
        <v>136000</v>
      </c>
    </row>
    <row r="499" spans="1:16" x14ac:dyDescent="0.3">
      <c r="A499" s="16"/>
      <c r="B499" s="1">
        <v>498</v>
      </c>
      <c r="C499" s="1" t="s">
        <v>179</v>
      </c>
      <c r="D499" s="1">
        <v>22263602</v>
      </c>
      <c r="E499" s="1" t="s">
        <v>575</v>
      </c>
      <c r="F499" s="1" t="s">
        <v>576</v>
      </c>
      <c r="G499" s="1" t="s">
        <v>17</v>
      </c>
      <c r="H499" s="1" t="s">
        <v>18</v>
      </c>
      <c r="I499" s="1" t="s">
        <v>30</v>
      </c>
      <c r="J499" s="1" t="s">
        <v>20</v>
      </c>
      <c r="K499" s="2" t="s">
        <v>20</v>
      </c>
      <c r="L499" s="6">
        <v>44</v>
      </c>
      <c r="M499" s="2">
        <v>0</v>
      </c>
      <c r="N499" s="6" t="s">
        <v>31</v>
      </c>
      <c r="O499" s="2" t="s">
        <v>32</v>
      </c>
      <c r="P499" s="8">
        <v>0</v>
      </c>
    </row>
    <row r="500" spans="1:16" x14ac:dyDescent="0.3">
      <c r="A500" s="16"/>
      <c r="B500" s="1">
        <v>499</v>
      </c>
      <c r="C500" s="1" t="s">
        <v>179</v>
      </c>
      <c r="D500" s="1">
        <v>54094246</v>
      </c>
      <c r="E500" s="1" t="s">
        <v>577</v>
      </c>
      <c r="F500" s="1" t="s">
        <v>578</v>
      </c>
      <c r="G500" s="1" t="s">
        <v>17</v>
      </c>
      <c r="H500" s="1" t="s">
        <v>18</v>
      </c>
      <c r="I500" s="1" t="s">
        <v>30</v>
      </c>
      <c r="J500" s="1" t="s">
        <v>20</v>
      </c>
      <c r="K500" s="2" t="s">
        <v>20</v>
      </c>
      <c r="L500" s="6">
        <v>76</v>
      </c>
      <c r="M500" s="2">
        <v>0</v>
      </c>
      <c r="N500" s="6" t="s">
        <v>31</v>
      </c>
      <c r="O500" s="2" t="s">
        <v>32</v>
      </c>
      <c r="P500" s="8">
        <v>0</v>
      </c>
    </row>
    <row r="501" spans="1:16" x14ac:dyDescent="0.3">
      <c r="A501" s="16"/>
      <c r="B501" s="1">
        <v>500</v>
      </c>
      <c r="C501" s="1" t="s">
        <v>179</v>
      </c>
      <c r="D501" s="1">
        <v>25066877</v>
      </c>
      <c r="E501" s="1" t="s">
        <v>579</v>
      </c>
      <c r="F501" s="1" t="s">
        <v>580</v>
      </c>
      <c r="G501" s="1" t="s">
        <v>17</v>
      </c>
      <c r="H501" s="1" t="s">
        <v>25</v>
      </c>
      <c r="I501" s="1" t="s">
        <v>26</v>
      </c>
      <c r="J501" s="1" t="s">
        <v>1015</v>
      </c>
      <c r="K501" s="2" t="s">
        <v>1015</v>
      </c>
      <c r="L501" s="6">
        <v>36</v>
      </c>
      <c r="M501" s="2">
        <v>0.92</v>
      </c>
      <c r="N501" s="6" t="s">
        <v>21</v>
      </c>
      <c r="O501" s="2" t="s">
        <v>27</v>
      </c>
      <c r="P501" s="8">
        <v>29000</v>
      </c>
    </row>
    <row r="502" spans="1:16" x14ac:dyDescent="0.3">
      <c r="A502" s="16"/>
      <c r="B502" s="1">
        <v>501</v>
      </c>
      <c r="C502" s="1" t="s">
        <v>179</v>
      </c>
      <c r="D502" s="1">
        <v>55471910</v>
      </c>
      <c r="E502" s="1" t="s">
        <v>581</v>
      </c>
      <c r="F502" s="1" t="s">
        <v>582</v>
      </c>
      <c r="G502" s="1" t="s">
        <v>17</v>
      </c>
      <c r="H502" s="1" t="s">
        <v>18</v>
      </c>
      <c r="I502" s="1" t="s">
        <v>19</v>
      </c>
      <c r="J502" s="1" t="s">
        <v>20</v>
      </c>
      <c r="K502" s="2" t="s">
        <v>20</v>
      </c>
      <c r="L502" s="6">
        <v>48</v>
      </c>
      <c r="M502" s="2">
        <v>1.42</v>
      </c>
      <c r="N502" s="6" t="s">
        <v>21</v>
      </c>
      <c r="O502" s="2" t="s">
        <v>22</v>
      </c>
      <c r="P502" s="8">
        <v>32000</v>
      </c>
    </row>
    <row r="503" spans="1:16" x14ac:dyDescent="0.3">
      <c r="A503" s="16"/>
      <c r="B503" s="1">
        <v>502</v>
      </c>
      <c r="C503" s="1" t="s">
        <v>179</v>
      </c>
      <c r="D503" s="1">
        <v>54106955</v>
      </c>
      <c r="E503" s="1" t="s">
        <v>583</v>
      </c>
      <c r="F503" s="1" t="s">
        <v>584</v>
      </c>
      <c r="G503" s="1" t="s">
        <v>17</v>
      </c>
      <c r="H503" s="1" t="s">
        <v>18</v>
      </c>
      <c r="I503" s="1" t="s">
        <v>19</v>
      </c>
      <c r="J503" s="1" t="s">
        <v>20</v>
      </c>
      <c r="K503" s="2" t="s">
        <v>20</v>
      </c>
      <c r="L503" s="6">
        <v>69</v>
      </c>
      <c r="M503" s="2">
        <v>1.89</v>
      </c>
      <c r="N503" s="6" t="s">
        <v>21</v>
      </c>
      <c r="O503" s="2" t="s">
        <v>27</v>
      </c>
      <c r="P503" s="8">
        <v>66000</v>
      </c>
    </row>
    <row r="504" spans="1:16" x14ac:dyDescent="0.3">
      <c r="A504" s="16"/>
      <c r="B504" s="1">
        <v>503</v>
      </c>
      <c r="C504" s="1" t="s">
        <v>179</v>
      </c>
      <c r="D504" s="1">
        <v>55939075</v>
      </c>
      <c r="E504" s="1" t="s">
        <v>585</v>
      </c>
      <c r="F504" s="1" t="s">
        <v>586</v>
      </c>
      <c r="G504" s="1" t="s">
        <v>17</v>
      </c>
      <c r="H504" s="1" t="s">
        <v>18</v>
      </c>
      <c r="I504" s="1" t="s">
        <v>30</v>
      </c>
      <c r="J504" s="1" t="s">
        <v>1015</v>
      </c>
      <c r="K504" s="2" t="s">
        <v>1015</v>
      </c>
      <c r="L504" s="6">
        <v>37</v>
      </c>
      <c r="M504" s="2">
        <v>0</v>
      </c>
      <c r="N504" s="6" t="s">
        <v>31</v>
      </c>
      <c r="O504" s="2" t="s">
        <v>32</v>
      </c>
      <c r="P504" s="8">
        <v>0</v>
      </c>
    </row>
    <row r="505" spans="1:16" x14ac:dyDescent="0.3">
      <c r="A505" s="16"/>
      <c r="B505" s="1">
        <v>504</v>
      </c>
      <c r="C505" s="1" t="s">
        <v>179</v>
      </c>
      <c r="D505" s="1">
        <v>25082439</v>
      </c>
      <c r="E505" s="1" t="s">
        <v>587</v>
      </c>
      <c r="F505" s="1" t="s">
        <v>588</v>
      </c>
      <c r="G505" s="1" t="s">
        <v>17</v>
      </c>
      <c r="H505" s="1" t="s">
        <v>25</v>
      </c>
      <c r="I505" s="1" t="s">
        <v>26</v>
      </c>
      <c r="J505" s="1" t="s">
        <v>1015</v>
      </c>
      <c r="K505" s="2" t="s">
        <v>1015</v>
      </c>
      <c r="L505" s="6">
        <v>83</v>
      </c>
      <c r="M505" s="2">
        <v>2.91</v>
      </c>
      <c r="N505" s="6" t="s">
        <v>21</v>
      </c>
      <c r="O505" s="2" t="s">
        <v>41</v>
      </c>
      <c r="P505" s="8">
        <v>58000</v>
      </c>
    </row>
    <row r="506" spans="1:16" x14ac:dyDescent="0.3">
      <c r="A506" s="16"/>
      <c r="B506" s="1">
        <v>505</v>
      </c>
      <c r="C506" s="1" t="s">
        <v>179</v>
      </c>
      <c r="D506" s="1">
        <v>55432905</v>
      </c>
      <c r="E506" s="1" t="s">
        <v>589</v>
      </c>
      <c r="F506" s="1" t="s">
        <v>590</v>
      </c>
      <c r="G506" s="1" t="s">
        <v>17</v>
      </c>
      <c r="H506" s="1" t="s">
        <v>18</v>
      </c>
      <c r="I506" s="1" t="s">
        <v>19</v>
      </c>
      <c r="J506" s="1" t="s">
        <v>20</v>
      </c>
      <c r="K506" s="2" t="s">
        <v>20</v>
      </c>
      <c r="L506" s="6">
        <v>80</v>
      </c>
      <c r="M506" s="2">
        <v>1.66</v>
      </c>
      <c r="N506" s="6" t="s">
        <v>21</v>
      </c>
      <c r="O506" s="2" t="s">
        <v>59</v>
      </c>
      <c r="P506" s="8">
        <v>32000</v>
      </c>
    </row>
    <row r="507" spans="1:16" x14ac:dyDescent="0.3">
      <c r="A507" s="16"/>
      <c r="B507" s="1">
        <v>506</v>
      </c>
      <c r="C507" s="1" t="s">
        <v>179</v>
      </c>
      <c r="D507" s="1">
        <v>811302816</v>
      </c>
      <c r="E507" s="1" t="s">
        <v>1141</v>
      </c>
      <c r="F507" s="1" t="s">
        <v>1279</v>
      </c>
      <c r="G507" s="1" t="s">
        <v>17</v>
      </c>
      <c r="H507" s="1" t="s">
        <v>18</v>
      </c>
      <c r="I507" s="1" t="s">
        <v>30</v>
      </c>
      <c r="J507" s="1" t="s">
        <v>20</v>
      </c>
      <c r="K507" s="2" t="s">
        <v>20</v>
      </c>
      <c r="L507" s="6">
        <v>63</v>
      </c>
      <c r="M507" s="2">
        <v>0</v>
      </c>
      <c r="N507" s="6" t="s">
        <v>31</v>
      </c>
      <c r="O507" s="2" t="s">
        <v>32</v>
      </c>
      <c r="P507" s="8">
        <v>0</v>
      </c>
    </row>
    <row r="508" spans="1:16" x14ac:dyDescent="0.3">
      <c r="A508" s="16"/>
      <c r="B508" s="1">
        <v>507</v>
      </c>
      <c r="C508" s="1" t="s">
        <v>179</v>
      </c>
      <c r="D508" s="1">
        <v>28288190</v>
      </c>
      <c r="E508" s="1" t="s">
        <v>591</v>
      </c>
      <c r="F508" s="1" t="s">
        <v>592</v>
      </c>
      <c r="G508" s="1" t="s">
        <v>17</v>
      </c>
      <c r="H508" s="1" t="s">
        <v>18</v>
      </c>
      <c r="I508" s="1" t="s">
        <v>19</v>
      </c>
      <c r="J508" s="1" t="s">
        <v>20</v>
      </c>
      <c r="K508" s="2" t="s">
        <v>20</v>
      </c>
      <c r="L508" s="6">
        <v>51</v>
      </c>
      <c r="M508" s="2">
        <v>0.87</v>
      </c>
      <c r="N508" s="6" t="s">
        <v>21</v>
      </c>
      <c r="O508" s="2" t="s">
        <v>22</v>
      </c>
      <c r="P508" s="8">
        <v>33000</v>
      </c>
    </row>
    <row r="509" spans="1:16" x14ac:dyDescent="0.3">
      <c r="A509" s="16"/>
      <c r="B509" s="1">
        <v>508</v>
      </c>
      <c r="C509" s="1" t="s">
        <v>179</v>
      </c>
      <c r="D509" s="1">
        <v>811306514</v>
      </c>
      <c r="E509" s="1" t="s">
        <v>593</v>
      </c>
      <c r="F509" s="1" t="s">
        <v>594</v>
      </c>
      <c r="G509" s="1" t="s">
        <v>17</v>
      </c>
      <c r="H509" s="1" t="s">
        <v>18</v>
      </c>
      <c r="I509" s="1" t="s">
        <v>19</v>
      </c>
      <c r="J509" s="1" t="s">
        <v>20</v>
      </c>
      <c r="K509" s="2" t="s">
        <v>20</v>
      </c>
      <c r="L509" s="6">
        <v>56</v>
      </c>
      <c r="M509" s="2">
        <v>0.28000000000000003</v>
      </c>
      <c r="N509" s="6" t="s">
        <v>58</v>
      </c>
      <c r="O509" s="2" t="s">
        <v>22</v>
      </c>
      <c r="P509" s="8">
        <v>12000</v>
      </c>
    </row>
    <row r="510" spans="1:16" x14ac:dyDescent="0.3">
      <c r="A510" s="16"/>
      <c r="B510" s="1">
        <v>509</v>
      </c>
      <c r="C510" s="1" t="s">
        <v>179</v>
      </c>
      <c r="D510" s="1">
        <v>47902201</v>
      </c>
      <c r="E510" s="1" t="s">
        <v>595</v>
      </c>
      <c r="F510" s="1" t="s">
        <v>596</v>
      </c>
      <c r="G510" s="1" t="s">
        <v>17</v>
      </c>
      <c r="H510" s="1" t="s">
        <v>18</v>
      </c>
      <c r="I510" s="1" t="s">
        <v>19</v>
      </c>
      <c r="J510" s="1" t="s">
        <v>20</v>
      </c>
      <c r="K510" s="2" t="s">
        <v>20</v>
      </c>
      <c r="L510" s="6">
        <v>78</v>
      </c>
      <c r="M510" s="2">
        <v>1.89</v>
      </c>
      <c r="N510" s="6" t="s">
        <v>21</v>
      </c>
      <c r="O510" s="2" t="s">
        <v>74</v>
      </c>
      <c r="P510" s="8">
        <v>81000</v>
      </c>
    </row>
    <row r="511" spans="1:16" x14ac:dyDescent="0.3">
      <c r="A511" s="16"/>
      <c r="B511" s="1">
        <v>510</v>
      </c>
      <c r="C511" s="1" t="s">
        <v>179</v>
      </c>
      <c r="D511" s="1">
        <v>1950673339</v>
      </c>
      <c r="E511" s="1" t="s">
        <v>1142</v>
      </c>
      <c r="F511" s="1" t="s">
        <v>411</v>
      </c>
      <c r="G511" s="1" t="s">
        <v>17</v>
      </c>
      <c r="H511" s="1" t="s">
        <v>18</v>
      </c>
      <c r="I511" s="1" t="s">
        <v>30</v>
      </c>
      <c r="J511" s="1" t="s">
        <v>20</v>
      </c>
      <c r="K511" s="2" t="s">
        <v>20</v>
      </c>
      <c r="L511" s="6">
        <v>65</v>
      </c>
      <c r="M511" s="2">
        <v>0</v>
      </c>
      <c r="N511" s="6" t="s">
        <v>31</v>
      </c>
      <c r="O511" s="2" t="s">
        <v>32</v>
      </c>
      <c r="P511" s="8">
        <v>0</v>
      </c>
    </row>
    <row r="512" spans="1:16" x14ac:dyDescent="0.3">
      <c r="A512" s="16"/>
      <c r="B512" s="1">
        <v>511</v>
      </c>
      <c r="C512" s="1" t="s">
        <v>179</v>
      </c>
      <c r="D512" s="1">
        <v>55166545</v>
      </c>
      <c r="E512" s="1" t="s">
        <v>597</v>
      </c>
      <c r="F512" s="1" t="s">
        <v>201</v>
      </c>
      <c r="G512" s="1" t="s">
        <v>17</v>
      </c>
      <c r="H512" s="1" t="s">
        <v>18</v>
      </c>
      <c r="I512" s="1" t="s">
        <v>19</v>
      </c>
      <c r="J512" s="1" t="s">
        <v>20</v>
      </c>
      <c r="K512" s="2" t="s">
        <v>20</v>
      </c>
      <c r="L512" s="6">
        <v>35</v>
      </c>
      <c r="M512" s="2">
        <v>1.72</v>
      </c>
      <c r="N512" s="6" t="s">
        <v>21</v>
      </c>
      <c r="O512" s="2" t="s">
        <v>59</v>
      </c>
      <c r="P512" s="8">
        <v>80000</v>
      </c>
    </row>
    <row r="513" spans="1:16" x14ac:dyDescent="0.3">
      <c r="A513" s="16"/>
      <c r="B513" s="1">
        <v>512</v>
      </c>
      <c r="C513" s="1" t="s">
        <v>179</v>
      </c>
      <c r="D513" s="1">
        <v>28285407</v>
      </c>
      <c r="E513" s="1" t="s">
        <v>598</v>
      </c>
      <c r="F513" s="1" t="s">
        <v>599</v>
      </c>
      <c r="G513" s="1" t="s">
        <v>17</v>
      </c>
      <c r="H513" s="1" t="s">
        <v>18</v>
      </c>
      <c r="I513" s="1" t="s">
        <v>19</v>
      </c>
      <c r="J513" s="1" t="s">
        <v>20</v>
      </c>
      <c r="K513" s="2" t="s">
        <v>20</v>
      </c>
      <c r="L513" s="6">
        <v>79</v>
      </c>
      <c r="M513" s="2">
        <v>0.67</v>
      </c>
      <c r="N513" s="6" t="s">
        <v>21</v>
      </c>
      <c r="O513" s="2" t="s">
        <v>22</v>
      </c>
      <c r="P513" s="8">
        <v>20000</v>
      </c>
    </row>
    <row r="514" spans="1:16" x14ac:dyDescent="0.3">
      <c r="A514" s="16"/>
      <c r="B514" s="1">
        <v>513</v>
      </c>
      <c r="C514" s="1" t="s">
        <v>179</v>
      </c>
      <c r="D514" s="1">
        <v>811302659</v>
      </c>
      <c r="E514" s="1" t="s">
        <v>600</v>
      </c>
      <c r="F514" s="1" t="s">
        <v>601</v>
      </c>
      <c r="G514" s="1" t="s">
        <v>17</v>
      </c>
      <c r="H514" s="1" t="s">
        <v>18</v>
      </c>
      <c r="I514" s="1" t="s">
        <v>30</v>
      </c>
      <c r="J514" s="1" t="s">
        <v>20</v>
      </c>
      <c r="K514" s="2" t="s">
        <v>20</v>
      </c>
      <c r="L514" s="6">
        <v>71</v>
      </c>
      <c r="M514" s="2">
        <v>0</v>
      </c>
      <c r="N514" s="6" t="s">
        <v>31</v>
      </c>
      <c r="O514" s="2" t="s">
        <v>32</v>
      </c>
      <c r="P514" s="8">
        <v>0</v>
      </c>
    </row>
    <row r="515" spans="1:16" x14ac:dyDescent="0.3">
      <c r="A515" s="16"/>
      <c r="B515" s="1">
        <v>514</v>
      </c>
      <c r="C515" s="1" t="s">
        <v>179</v>
      </c>
      <c r="D515" s="1">
        <v>55566912</v>
      </c>
      <c r="E515" s="1" t="s">
        <v>602</v>
      </c>
      <c r="F515" s="1" t="s">
        <v>603</v>
      </c>
      <c r="G515" s="1" t="s">
        <v>17</v>
      </c>
      <c r="H515" s="1" t="s">
        <v>18</v>
      </c>
      <c r="I515" s="1" t="s">
        <v>19</v>
      </c>
      <c r="J515" s="1" t="s">
        <v>1015</v>
      </c>
      <c r="K515" s="2" t="s">
        <v>1015</v>
      </c>
      <c r="L515" s="6">
        <v>61</v>
      </c>
      <c r="M515" s="2">
        <v>0.37</v>
      </c>
      <c r="N515" s="6" t="s">
        <v>21</v>
      </c>
      <c r="O515" s="2" t="s">
        <v>59</v>
      </c>
      <c r="P515" s="8">
        <v>9000</v>
      </c>
    </row>
    <row r="516" spans="1:16" x14ac:dyDescent="0.3">
      <c r="A516" s="16"/>
      <c r="B516" s="1">
        <v>515</v>
      </c>
      <c r="C516" s="1" t="s">
        <v>179</v>
      </c>
      <c r="D516" s="1">
        <v>54653886</v>
      </c>
      <c r="E516" s="1" t="s">
        <v>604</v>
      </c>
      <c r="F516" s="1" t="s">
        <v>605</v>
      </c>
      <c r="G516" s="1" t="s">
        <v>17</v>
      </c>
      <c r="H516" s="1" t="s">
        <v>18</v>
      </c>
      <c r="I516" s="1" t="s">
        <v>30</v>
      </c>
      <c r="J516" s="1" t="s">
        <v>20</v>
      </c>
      <c r="K516" s="2" t="s">
        <v>20</v>
      </c>
      <c r="L516" s="6">
        <v>54</v>
      </c>
      <c r="M516" s="2">
        <v>0</v>
      </c>
      <c r="N516" s="6" t="s">
        <v>31</v>
      </c>
      <c r="O516" s="2" t="s">
        <v>32</v>
      </c>
      <c r="P516" s="8">
        <v>0</v>
      </c>
    </row>
    <row r="517" spans="1:16" x14ac:dyDescent="0.3">
      <c r="A517" s="16"/>
      <c r="B517" s="1">
        <v>516</v>
      </c>
      <c r="C517" s="1" t="s">
        <v>179</v>
      </c>
      <c r="D517" s="1">
        <v>55155822</v>
      </c>
      <c r="E517" s="1" t="s">
        <v>606</v>
      </c>
      <c r="F517" s="1" t="s">
        <v>607</v>
      </c>
      <c r="G517" s="1" t="s">
        <v>17</v>
      </c>
      <c r="H517" s="1" t="s">
        <v>25</v>
      </c>
      <c r="I517" s="1" t="s">
        <v>26</v>
      </c>
      <c r="J517" s="1" t="s">
        <v>1015</v>
      </c>
      <c r="K517" s="2" t="s">
        <v>1015</v>
      </c>
      <c r="L517" s="6">
        <v>27</v>
      </c>
      <c r="M517" s="2">
        <v>1.9</v>
      </c>
      <c r="N517" s="6" t="s">
        <v>36</v>
      </c>
      <c r="O517" s="2" t="s">
        <v>59</v>
      </c>
      <c r="P517" s="8">
        <v>77000</v>
      </c>
    </row>
    <row r="518" spans="1:16" x14ac:dyDescent="0.3">
      <c r="A518" s="16"/>
      <c r="B518" s="1">
        <v>517</v>
      </c>
      <c r="C518" s="1" t="s">
        <v>179</v>
      </c>
      <c r="D518" s="1">
        <v>54644018</v>
      </c>
      <c r="E518" s="1" t="s">
        <v>608</v>
      </c>
      <c r="F518" s="1" t="s">
        <v>203</v>
      </c>
      <c r="G518" s="1" t="s">
        <v>17</v>
      </c>
      <c r="H518" s="1" t="s">
        <v>25</v>
      </c>
      <c r="I518" s="1" t="s">
        <v>184</v>
      </c>
      <c r="J518" s="1" t="s">
        <v>20</v>
      </c>
      <c r="K518" s="2" t="s">
        <v>20</v>
      </c>
      <c r="L518" s="6">
        <v>41</v>
      </c>
      <c r="M518" s="2">
        <v>0.72</v>
      </c>
      <c r="N518" s="6" t="s">
        <v>21</v>
      </c>
      <c r="O518" s="2" t="s">
        <v>27</v>
      </c>
      <c r="P518" s="8">
        <v>28000</v>
      </c>
    </row>
    <row r="519" spans="1:16" x14ac:dyDescent="0.3">
      <c r="A519" s="16"/>
      <c r="B519" s="1">
        <v>518</v>
      </c>
      <c r="C519" s="1" t="s">
        <v>179</v>
      </c>
      <c r="D519" s="1">
        <v>47913490</v>
      </c>
      <c r="E519" s="1" t="s">
        <v>609</v>
      </c>
      <c r="F519" s="1" t="s">
        <v>610</v>
      </c>
      <c r="G519" s="1" t="s">
        <v>17</v>
      </c>
      <c r="H519" s="1" t="s">
        <v>18</v>
      </c>
      <c r="I519" s="1" t="s">
        <v>19</v>
      </c>
      <c r="J519" s="1" t="s">
        <v>20</v>
      </c>
      <c r="K519" s="2" t="s">
        <v>20</v>
      </c>
      <c r="L519" s="6">
        <v>52</v>
      </c>
      <c r="M519" s="2">
        <v>2.93</v>
      </c>
      <c r="N519" s="6" t="s">
        <v>21</v>
      </c>
      <c r="O519" s="2" t="s">
        <v>27</v>
      </c>
      <c r="P519" s="8">
        <v>101000</v>
      </c>
    </row>
    <row r="520" spans="1:16" x14ac:dyDescent="0.3">
      <c r="A520" s="16"/>
      <c r="B520" s="1">
        <v>519</v>
      </c>
      <c r="C520" s="1" t="s">
        <v>179</v>
      </c>
      <c r="D520" s="1">
        <v>54146236</v>
      </c>
      <c r="E520" s="1" t="s">
        <v>611</v>
      </c>
      <c r="F520" s="1" t="s">
        <v>612</v>
      </c>
      <c r="G520" s="1" t="s">
        <v>17</v>
      </c>
      <c r="H520" s="1" t="s">
        <v>18</v>
      </c>
      <c r="I520" s="1" t="s">
        <v>19</v>
      </c>
      <c r="J520" s="1" t="s">
        <v>20</v>
      </c>
      <c r="K520" s="2" t="s">
        <v>20</v>
      </c>
      <c r="L520" s="6">
        <v>65</v>
      </c>
      <c r="M520" s="2">
        <v>4</v>
      </c>
      <c r="N520" s="6" t="s">
        <v>21</v>
      </c>
      <c r="O520" s="2" t="s">
        <v>41</v>
      </c>
      <c r="P520" s="8">
        <v>176000</v>
      </c>
    </row>
    <row r="521" spans="1:16" x14ac:dyDescent="0.3">
      <c r="A521" s="16"/>
      <c r="B521" s="1">
        <v>520</v>
      </c>
      <c r="C521" s="1" t="s">
        <v>179</v>
      </c>
      <c r="D521" s="1">
        <v>55140997</v>
      </c>
      <c r="E521" s="1" t="s">
        <v>613</v>
      </c>
      <c r="F521" s="1" t="s">
        <v>614</v>
      </c>
      <c r="G521" s="1" t="s">
        <v>17</v>
      </c>
      <c r="H521" s="1" t="s">
        <v>18</v>
      </c>
      <c r="I521" s="1" t="s">
        <v>19</v>
      </c>
      <c r="J521" s="1" t="s">
        <v>20</v>
      </c>
      <c r="K521" s="2" t="s">
        <v>20</v>
      </c>
      <c r="L521" s="6">
        <v>61</v>
      </c>
      <c r="M521" s="2">
        <v>1.85</v>
      </c>
      <c r="N521" s="6" t="s">
        <v>21</v>
      </c>
      <c r="O521" s="2" t="s">
        <v>22</v>
      </c>
      <c r="P521" s="8">
        <v>62000</v>
      </c>
    </row>
    <row r="522" spans="1:16" x14ac:dyDescent="0.3">
      <c r="A522" s="16"/>
      <c r="B522" s="1">
        <v>521</v>
      </c>
      <c r="C522" s="1" t="s">
        <v>179</v>
      </c>
      <c r="D522" s="1">
        <v>811302203</v>
      </c>
      <c r="E522" s="1" t="s">
        <v>1143</v>
      </c>
      <c r="F522" s="1" t="s">
        <v>1280</v>
      </c>
      <c r="G522" s="1" t="s">
        <v>17</v>
      </c>
      <c r="H522" s="1" t="s">
        <v>18</v>
      </c>
      <c r="I522" s="1" t="s">
        <v>30</v>
      </c>
      <c r="J522" s="1" t="s">
        <v>20</v>
      </c>
      <c r="K522" s="2" t="s">
        <v>20</v>
      </c>
      <c r="L522" s="6">
        <v>63</v>
      </c>
      <c r="M522" s="2">
        <v>0</v>
      </c>
      <c r="N522" s="6" t="s">
        <v>31</v>
      </c>
      <c r="O522" s="2" t="s">
        <v>32</v>
      </c>
      <c r="P522" s="8">
        <v>0</v>
      </c>
    </row>
    <row r="523" spans="1:16" x14ac:dyDescent="0.3">
      <c r="A523" s="16"/>
      <c r="B523" s="1">
        <v>522</v>
      </c>
      <c r="C523" s="1" t="s">
        <v>179</v>
      </c>
      <c r="D523" s="1">
        <v>1950681094</v>
      </c>
      <c r="E523" s="1" t="s">
        <v>1050</v>
      </c>
      <c r="F523" s="1" t="s">
        <v>1224</v>
      </c>
      <c r="G523" s="1" t="s">
        <v>17</v>
      </c>
      <c r="H523" s="1" t="s">
        <v>25</v>
      </c>
      <c r="I523" s="1" t="s">
        <v>216</v>
      </c>
      <c r="J523" s="1" t="s">
        <v>20</v>
      </c>
      <c r="K523" s="2" t="s">
        <v>1015</v>
      </c>
      <c r="L523" s="6">
        <v>67</v>
      </c>
      <c r="M523" s="2">
        <v>4.97</v>
      </c>
      <c r="N523" s="6" t="s">
        <v>21</v>
      </c>
      <c r="O523" s="2" t="s">
        <v>27</v>
      </c>
      <c r="P523" s="8">
        <v>98000</v>
      </c>
    </row>
    <row r="524" spans="1:16" x14ac:dyDescent="0.3">
      <c r="A524" s="16"/>
      <c r="B524" s="1">
        <v>523</v>
      </c>
      <c r="C524" s="1" t="s">
        <v>179</v>
      </c>
      <c r="D524" s="1">
        <v>55166229</v>
      </c>
      <c r="E524" s="1" t="s">
        <v>615</v>
      </c>
      <c r="F524" s="1" t="s">
        <v>201</v>
      </c>
      <c r="G524" s="1" t="s">
        <v>17</v>
      </c>
      <c r="H524" s="1" t="s">
        <v>18</v>
      </c>
      <c r="I524" s="1" t="s">
        <v>30</v>
      </c>
      <c r="J524" s="1" t="s">
        <v>20</v>
      </c>
      <c r="K524" s="2" t="s">
        <v>20</v>
      </c>
      <c r="L524" s="6">
        <v>73</v>
      </c>
      <c r="M524" s="2">
        <v>0</v>
      </c>
      <c r="N524" s="6" t="s">
        <v>31</v>
      </c>
      <c r="O524" s="2" t="s">
        <v>32</v>
      </c>
      <c r="P524" s="8">
        <v>0</v>
      </c>
    </row>
    <row r="525" spans="1:16" x14ac:dyDescent="0.3">
      <c r="A525" s="16"/>
      <c r="B525" s="1">
        <v>524</v>
      </c>
      <c r="C525" s="1" t="s">
        <v>179</v>
      </c>
      <c r="D525" s="1">
        <v>55473137</v>
      </c>
      <c r="E525" s="1" t="s">
        <v>616</v>
      </c>
      <c r="F525" s="1" t="s">
        <v>617</v>
      </c>
      <c r="G525" s="1" t="s">
        <v>17</v>
      </c>
      <c r="H525" s="1" t="s">
        <v>25</v>
      </c>
      <c r="I525" s="1" t="s">
        <v>26</v>
      </c>
      <c r="J525" s="1" t="s">
        <v>20</v>
      </c>
      <c r="K525" s="2" t="s">
        <v>20</v>
      </c>
      <c r="L525" s="6">
        <v>38</v>
      </c>
      <c r="M525" s="2">
        <v>1.21</v>
      </c>
      <c r="N525" s="6" t="s">
        <v>21</v>
      </c>
      <c r="O525" s="2" t="s">
        <v>361</v>
      </c>
      <c r="P525" s="8">
        <v>56000</v>
      </c>
    </row>
    <row r="526" spans="1:16" x14ac:dyDescent="0.3">
      <c r="A526" s="16"/>
      <c r="B526" s="1">
        <v>525</v>
      </c>
      <c r="C526" s="1" t="s">
        <v>179</v>
      </c>
      <c r="D526" s="1">
        <v>55448063</v>
      </c>
      <c r="E526" s="1" t="s">
        <v>618</v>
      </c>
      <c r="F526" s="1" t="s">
        <v>619</v>
      </c>
      <c r="G526" s="1" t="s">
        <v>17</v>
      </c>
      <c r="H526" s="1" t="s">
        <v>18</v>
      </c>
      <c r="I526" s="1" t="s">
        <v>19</v>
      </c>
      <c r="J526" s="1" t="s">
        <v>20</v>
      </c>
      <c r="K526" s="2" t="s">
        <v>20</v>
      </c>
      <c r="L526" s="6">
        <v>78</v>
      </c>
      <c r="M526" s="2">
        <v>4.54</v>
      </c>
      <c r="N526" s="6" t="s">
        <v>21</v>
      </c>
      <c r="O526" s="2" t="s">
        <v>22</v>
      </c>
      <c r="P526" s="8">
        <v>194000</v>
      </c>
    </row>
    <row r="527" spans="1:16" x14ac:dyDescent="0.3">
      <c r="A527" s="16"/>
      <c r="B527" s="1">
        <v>526</v>
      </c>
      <c r="C527" s="1" t="s">
        <v>179</v>
      </c>
      <c r="D527" s="1">
        <v>811303575</v>
      </c>
      <c r="E527" s="1" t="s">
        <v>1144</v>
      </c>
      <c r="F527" s="1" t="s">
        <v>1230</v>
      </c>
      <c r="G527" s="1" t="s">
        <v>17</v>
      </c>
      <c r="H527" s="1" t="s">
        <v>18</v>
      </c>
      <c r="I527" s="1" t="s">
        <v>30</v>
      </c>
      <c r="J527" s="1" t="s">
        <v>20</v>
      </c>
      <c r="K527" s="2" t="s">
        <v>20</v>
      </c>
      <c r="L527" s="6">
        <v>74</v>
      </c>
      <c r="M527" s="2">
        <v>0</v>
      </c>
      <c r="N527" s="6" t="s">
        <v>31</v>
      </c>
      <c r="O527" s="2" t="s">
        <v>32</v>
      </c>
      <c r="P527" s="8">
        <v>0</v>
      </c>
    </row>
    <row r="528" spans="1:16" x14ac:dyDescent="0.3">
      <c r="A528" s="16"/>
      <c r="B528" s="1">
        <v>527</v>
      </c>
      <c r="C528" s="1" t="s">
        <v>179</v>
      </c>
      <c r="D528" s="1">
        <v>54114445</v>
      </c>
      <c r="E528" s="1" t="s">
        <v>620</v>
      </c>
      <c r="F528" s="1" t="s">
        <v>384</v>
      </c>
      <c r="G528" s="1" t="s">
        <v>17</v>
      </c>
      <c r="H528" s="1" t="s">
        <v>18</v>
      </c>
      <c r="I528" s="1" t="s">
        <v>30</v>
      </c>
      <c r="J528" s="1" t="s">
        <v>20</v>
      </c>
      <c r="K528" s="2" t="s">
        <v>20</v>
      </c>
      <c r="L528" s="6">
        <v>84</v>
      </c>
      <c r="M528" s="2">
        <v>0</v>
      </c>
      <c r="N528" s="6" t="s">
        <v>31</v>
      </c>
      <c r="O528" s="2" t="s">
        <v>32</v>
      </c>
      <c r="P528" s="8">
        <v>0</v>
      </c>
    </row>
    <row r="529" spans="1:16" x14ac:dyDescent="0.3">
      <c r="A529" s="16"/>
      <c r="B529" s="1">
        <v>528</v>
      </c>
      <c r="C529" s="1" t="s">
        <v>179</v>
      </c>
      <c r="D529" s="1">
        <v>55611169</v>
      </c>
      <c r="E529" s="1" t="s">
        <v>1145</v>
      </c>
      <c r="F529" s="1" t="s">
        <v>1281</v>
      </c>
      <c r="G529" s="1" t="s">
        <v>17</v>
      </c>
      <c r="H529" s="1" t="s">
        <v>25</v>
      </c>
      <c r="I529" s="1" t="s">
        <v>26</v>
      </c>
      <c r="J529" s="1" t="s">
        <v>20</v>
      </c>
      <c r="K529" s="2" t="s">
        <v>20</v>
      </c>
      <c r="L529" s="6">
        <v>80</v>
      </c>
      <c r="M529" s="2">
        <v>2.33</v>
      </c>
      <c r="N529" s="6" t="s">
        <v>21</v>
      </c>
      <c r="O529" s="2" t="s">
        <v>22</v>
      </c>
      <c r="P529" s="8">
        <v>115000</v>
      </c>
    </row>
    <row r="530" spans="1:16" x14ac:dyDescent="0.3">
      <c r="A530" s="16"/>
      <c r="B530" s="1">
        <v>529</v>
      </c>
      <c r="C530" s="1" t="s">
        <v>179</v>
      </c>
      <c r="D530" s="1">
        <v>54146922</v>
      </c>
      <c r="E530" s="1" t="s">
        <v>1146</v>
      </c>
      <c r="F530" s="1" t="s">
        <v>991</v>
      </c>
      <c r="G530" s="1" t="s">
        <v>17</v>
      </c>
      <c r="H530" s="1" t="s">
        <v>18</v>
      </c>
      <c r="I530" s="1" t="s">
        <v>120</v>
      </c>
      <c r="J530" s="1" t="s">
        <v>20</v>
      </c>
      <c r="K530" s="2" t="s">
        <v>20</v>
      </c>
      <c r="L530" s="6">
        <v>78</v>
      </c>
      <c r="M530" s="2">
        <v>6.35</v>
      </c>
      <c r="N530" s="6" t="s">
        <v>36</v>
      </c>
      <c r="O530" s="2" t="s">
        <v>27</v>
      </c>
      <c r="P530" s="8">
        <v>340000</v>
      </c>
    </row>
    <row r="531" spans="1:16" x14ac:dyDescent="0.3">
      <c r="A531" s="16"/>
      <c r="B531" s="1">
        <v>530</v>
      </c>
      <c r="C531" s="1" t="s">
        <v>179</v>
      </c>
      <c r="D531" s="1">
        <v>55926779</v>
      </c>
      <c r="E531" s="1" t="s">
        <v>621</v>
      </c>
      <c r="F531" s="1" t="s">
        <v>622</v>
      </c>
      <c r="G531" s="1" t="s">
        <v>88</v>
      </c>
      <c r="H531" s="1" t="s">
        <v>18</v>
      </c>
      <c r="I531" s="1" t="s">
        <v>120</v>
      </c>
      <c r="J531" s="1" t="s">
        <v>1015</v>
      </c>
      <c r="K531" s="2" t="s">
        <v>1015</v>
      </c>
      <c r="L531" s="6">
        <v>84</v>
      </c>
      <c r="M531" s="2">
        <v>0.86</v>
      </c>
      <c r="N531" s="6" t="s">
        <v>21</v>
      </c>
      <c r="O531" s="2" t="s">
        <v>41</v>
      </c>
      <c r="P531" s="8">
        <v>14000</v>
      </c>
    </row>
    <row r="532" spans="1:16" x14ac:dyDescent="0.3">
      <c r="A532" s="16"/>
      <c r="B532" s="1">
        <v>531</v>
      </c>
      <c r="C532" s="1" t="s">
        <v>179</v>
      </c>
      <c r="D532" s="1">
        <v>55555105</v>
      </c>
      <c r="E532" s="1" t="s">
        <v>623</v>
      </c>
      <c r="F532" s="1" t="s">
        <v>624</v>
      </c>
      <c r="G532" s="1" t="s">
        <v>17</v>
      </c>
      <c r="H532" s="1" t="s">
        <v>25</v>
      </c>
      <c r="I532" s="1" t="s">
        <v>184</v>
      </c>
      <c r="J532" s="1" t="s">
        <v>1015</v>
      </c>
      <c r="K532" s="2" t="s">
        <v>1015</v>
      </c>
      <c r="L532" s="6">
        <v>68</v>
      </c>
      <c r="M532" s="2">
        <v>3.13</v>
      </c>
      <c r="N532" s="6" t="s">
        <v>21</v>
      </c>
      <c r="O532" s="2" t="s">
        <v>22</v>
      </c>
      <c r="P532" s="8">
        <v>127000</v>
      </c>
    </row>
    <row r="533" spans="1:16" x14ac:dyDescent="0.3">
      <c r="A533" s="16"/>
      <c r="B533" s="1">
        <v>532</v>
      </c>
      <c r="C533" s="1" t="s">
        <v>179</v>
      </c>
      <c r="D533" s="1">
        <v>55480234</v>
      </c>
      <c r="E533" s="1" t="s">
        <v>625</v>
      </c>
      <c r="F533" s="1" t="s">
        <v>626</v>
      </c>
      <c r="G533" s="1" t="s">
        <v>17</v>
      </c>
      <c r="H533" s="1" t="s">
        <v>18</v>
      </c>
      <c r="I533" s="1" t="s">
        <v>30</v>
      </c>
      <c r="J533" s="1" t="s">
        <v>1015</v>
      </c>
      <c r="K533" s="2" t="s">
        <v>1015</v>
      </c>
      <c r="L533" s="6">
        <v>35</v>
      </c>
      <c r="M533" s="2">
        <v>0</v>
      </c>
      <c r="N533" s="6" t="s">
        <v>31</v>
      </c>
      <c r="O533" s="2" t="s">
        <v>32</v>
      </c>
      <c r="P533" s="8">
        <v>0</v>
      </c>
    </row>
    <row r="534" spans="1:16" x14ac:dyDescent="0.3">
      <c r="A534" s="16"/>
      <c r="B534" s="1">
        <v>533</v>
      </c>
      <c r="C534" s="1" t="s">
        <v>179</v>
      </c>
      <c r="D534" s="1">
        <v>55156340</v>
      </c>
      <c r="E534" s="1" t="s">
        <v>627</v>
      </c>
      <c r="F534" s="1" t="s">
        <v>628</v>
      </c>
      <c r="G534" s="1" t="s">
        <v>17</v>
      </c>
      <c r="H534" s="1" t="s">
        <v>25</v>
      </c>
      <c r="I534" s="1" t="s">
        <v>26</v>
      </c>
      <c r="J534" s="1" t="s">
        <v>1015</v>
      </c>
      <c r="K534" s="2" t="s">
        <v>1015</v>
      </c>
      <c r="L534" s="6">
        <v>85</v>
      </c>
      <c r="M534" s="2">
        <v>0.6</v>
      </c>
      <c r="N534" s="6" t="s">
        <v>36</v>
      </c>
      <c r="O534" s="2" t="s">
        <v>22</v>
      </c>
      <c r="P534" s="8">
        <v>29000</v>
      </c>
    </row>
    <row r="535" spans="1:16" x14ac:dyDescent="0.3">
      <c r="A535" s="16"/>
      <c r="B535" s="1">
        <v>534</v>
      </c>
      <c r="C535" s="1" t="s">
        <v>179</v>
      </c>
      <c r="D535" s="1">
        <v>55468356</v>
      </c>
      <c r="E535" s="1" t="s">
        <v>629</v>
      </c>
      <c r="F535" s="1" t="s">
        <v>630</v>
      </c>
      <c r="G535" s="1" t="s">
        <v>17</v>
      </c>
      <c r="H535" s="1" t="s">
        <v>18</v>
      </c>
      <c r="I535" s="1" t="s">
        <v>19</v>
      </c>
      <c r="J535" s="1" t="s">
        <v>20</v>
      </c>
      <c r="K535" s="2" t="s">
        <v>20</v>
      </c>
      <c r="L535" s="6">
        <v>56</v>
      </c>
      <c r="M535" s="2">
        <v>4.66</v>
      </c>
      <c r="N535" s="6" t="s">
        <v>21</v>
      </c>
      <c r="O535" s="2" t="s">
        <v>22</v>
      </c>
      <c r="P535" s="8">
        <v>215000</v>
      </c>
    </row>
    <row r="536" spans="1:16" x14ac:dyDescent="0.3">
      <c r="A536" s="16"/>
      <c r="B536" s="1">
        <v>535</v>
      </c>
      <c r="C536" s="1" t="s">
        <v>179</v>
      </c>
      <c r="D536" s="1">
        <v>55502557</v>
      </c>
      <c r="E536" s="1" t="s">
        <v>631</v>
      </c>
      <c r="F536" s="1" t="s">
        <v>632</v>
      </c>
      <c r="G536" s="1" t="s">
        <v>17</v>
      </c>
      <c r="H536" s="1" t="s">
        <v>25</v>
      </c>
      <c r="I536" s="1" t="s">
        <v>26</v>
      </c>
      <c r="J536" s="1" t="s">
        <v>1015</v>
      </c>
      <c r="K536" s="2" t="s">
        <v>1015</v>
      </c>
      <c r="L536" s="6">
        <v>43</v>
      </c>
      <c r="M536" s="2">
        <v>0.62</v>
      </c>
      <c r="N536" s="6" t="s">
        <v>58</v>
      </c>
      <c r="O536" s="2" t="s">
        <v>22</v>
      </c>
      <c r="P536" s="8">
        <v>24000</v>
      </c>
    </row>
    <row r="537" spans="1:16" x14ac:dyDescent="0.3">
      <c r="A537" s="16"/>
      <c r="B537" s="1">
        <v>536</v>
      </c>
      <c r="C537" s="1" t="s">
        <v>179</v>
      </c>
      <c r="D537" s="1">
        <v>55161253</v>
      </c>
      <c r="E537" s="1" t="s">
        <v>1147</v>
      </c>
      <c r="F537" s="1" t="s">
        <v>1254</v>
      </c>
      <c r="G537" s="1" t="s">
        <v>17</v>
      </c>
      <c r="H537" s="1" t="s">
        <v>25</v>
      </c>
      <c r="I537" s="1" t="s">
        <v>184</v>
      </c>
      <c r="J537" s="1" t="s">
        <v>1015</v>
      </c>
      <c r="K537" s="2" t="s">
        <v>1015</v>
      </c>
      <c r="L537" s="6">
        <v>49</v>
      </c>
      <c r="M537" s="2">
        <v>1.95</v>
      </c>
      <c r="N537" s="6" t="s">
        <v>21</v>
      </c>
      <c r="O537" s="2" t="s">
        <v>195</v>
      </c>
      <c r="P537" s="8">
        <v>73000</v>
      </c>
    </row>
    <row r="538" spans="1:16" x14ac:dyDescent="0.3">
      <c r="A538" s="16"/>
      <c r="B538" s="1">
        <v>537</v>
      </c>
      <c r="C538" s="1" t="s">
        <v>179</v>
      </c>
      <c r="D538" s="1">
        <v>1950688973</v>
      </c>
      <c r="E538" s="1" t="s">
        <v>1051</v>
      </c>
      <c r="F538" s="1" t="s">
        <v>1225</v>
      </c>
      <c r="G538" s="1" t="s">
        <v>17</v>
      </c>
      <c r="H538" s="1" t="s">
        <v>25</v>
      </c>
      <c r="I538" s="1" t="s">
        <v>216</v>
      </c>
      <c r="J538" s="1" t="s">
        <v>20</v>
      </c>
      <c r="K538" s="2" t="s">
        <v>1015</v>
      </c>
      <c r="L538" s="6">
        <v>29</v>
      </c>
      <c r="M538" s="2">
        <v>0.37</v>
      </c>
      <c r="N538" s="6" t="s">
        <v>36</v>
      </c>
      <c r="O538" s="2" t="s">
        <v>22</v>
      </c>
      <c r="P538" s="8">
        <v>20000</v>
      </c>
    </row>
    <row r="539" spans="1:16" x14ac:dyDescent="0.3">
      <c r="A539" s="16"/>
      <c r="B539" s="1">
        <v>538</v>
      </c>
      <c r="C539" s="1" t="s">
        <v>179</v>
      </c>
      <c r="D539" s="1">
        <v>1950671068</v>
      </c>
      <c r="E539" s="1" t="s">
        <v>1148</v>
      </c>
      <c r="F539" s="1" t="s">
        <v>601</v>
      </c>
      <c r="G539" s="1" t="s">
        <v>17</v>
      </c>
      <c r="H539" s="1" t="s">
        <v>18</v>
      </c>
      <c r="I539" s="1" t="s">
        <v>30</v>
      </c>
      <c r="J539" s="1" t="s">
        <v>20</v>
      </c>
      <c r="K539" s="2" t="s">
        <v>20</v>
      </c>
      <c r="L539" s="6">
        <v>48</v>
      </c>
      <c r="M539" s="2">
        <v>0</v>
      </c>
      <c r="N539" s="6" t="s">
        <v>31</v>
      </c>
      <c r="O539" s="2" t="s">
        <v>32</v>
      </c>
      <c r="P539" s="8">
        <v>0</v>
      </c>
    </row>
    <row r="540" spans="1:16" x14ac:dyDescent="0.3">
      <c r="A540" s="16"/>
      <c r="B540" s="1">
        <v>539</v>
      </c>
      <c r="C540" s="1" t="s">
        <v>179</v>
      </c>
      <c r="D540" s="1">
        <v>54664865</v>
      </c>
      <c r="E540" s="1" t="s">
        <v>1149</v>
      </c>
      <c r="F540" s="1" t="s">
        <v>633</v>
      </c>
      <c r="G540" s="1" t="s">
        <v>88</v>
      </c>
      <c r="H540" s="1" t="s">
        <v>25</v>
      </c>
      <c r="I540" s="1" t="s">
        <v>184</v>
      </c>
      <c r="J540" s="1" t="s">
        <v>1015</v>
      </c>
      <c r="K540" s="2" t="s">
        <v>1015</v>
      </c>
      <c r="L540" s="6">
        <v>30</v>
      </c>
      <c r="M540" s="2">
        <v>1.1000000000000001</v>
      </c>
      <c r="N540" s="6" t="s">
        <v>21</v>
      </c>
      <c r="O540" s="2" t="s">
        <v>22</v>
      </c>
      <c r="P540" s="8">
        <v>40000</v>
      </c>
    </row>
    <row r="541" spans="1:16" x14ac:dyDescent="0.3">
      <c r="A541" s="16"/>
      <c r="B541" s="1">
        <v>540</v>
      </c>
      <c r="C541" s="1" t="s">
        <v>179</v>
      </c>
      <c r="D541" s="1">
        <v>811325592</v>
      </c>
      <c r="E541" s="1" t="s">
        <v>634</v>
      </c>
      <c r="F541" s="1" t="s">
        <v>635</v>
      </c>
      <c r="G541" s="1" t="s">
        <v>17</v>
      </c>
      <c r="H541" s="1" t="s">
        <v>18</v>
      </c>
      <c r="I541" s="1" t="s">
        <v>30</v>
      </c>
      <c r="J541" s="1" t="s">
        <v>20</v>
      </c>
      <c r="K541" s="2" t="s">
        <v>20</v>
      </c>
      <c r="L541" s="6">
        <v>53</v>
      </c>
      <c r="M541" s="2">
        <v>0</v>
      </c>
      <c r="N541" s="6" t="s">
        <v>31</v>
      </c>
      <c r="O541" s="2" t="s">
        <v>32</v>
      </c>
      <c r="P541" s="8">
        <v>0</v>
      </c>
    </row>
    <row r="542" spans="1:16" x14ac:dyDescent="0.3">
      <c r="A542" s="16"/>
      <c r="B542" s="1">
        <v>541</v>
      </c>
      <c r="C542" s="1" t="s">
        <v>179</v>
      </c>
      <c r="D542" s="1">
        <v>811303459</v>
      </c>
      <c r="E542" s="1" t="s">
        <v>1150</v>
      </c>
      <c r="F542" s="1" t="s">
        <v>1282</v>
      </c>
      <c r="G542" s="1" t="s">
        <v>17</v>
      </c>
      <c r="H542" s="1" t="s">
        <v>18</v>
      </c>
      <c r="I542" s="1" t="s">
        <v>30</v>
      </c>
      <c r="J542" s="1" t="s">
        <v>20</v>
      </c>
      <c r="K542" s="2" t="s">
        <v>20</v>
      </c>
      <c r="L542" s="6">
        <v>75</v>
      </c>
      <c r="M542" s="2">
        <v>0</v>
      </c>
      <c r="N542" s="6" t="s">
        <v>31</v>
      </c>
      <c r="O542" s="2" t="s">
        <v>32</v>
      </c>
      <c r="P542" s="8">
        <v>0</v>
      </c>
    </row>
    <row r="543" spans="1:16" x14ac:dyDescent="0.3">
      <c r="A543" s="16"/>
      <c r="B543" s="1">
        <v>542</v>
      </c>
      <c r="C543" s="1" t="s">
        <v>179</v>
      </c>
      <c r="D543" s="1">
        <v>55563289</v>
      </c>
      <c r="E543" s="1" t="s">
        <v>636</v>
      </c>
      <c r="F543" s="1" t="s">
        <v>637</v>
      </c>
      <c r="G543" s="1" t="s">
        <v>17</v>
      </c>
      <c r="H543" s="1" t="s">
        <v>25</v>
      </c>
      <c r="I543" s="1" t="s">
        <v>184</v>
      </c>
      <c r="J543" s="1" t="s">
        <v>1015</v>
      </c>
      <c r="K543" s="2" t="s">
        <v>1015</v>
      </c>
      <c r="L543" s="6">
        <v>76</v>
      </c>
      <c r="M543" s="2">
        <v>0.37</v>
      </c>
      <c r="N543" s="6" t="s">
        <v>21</v>
      </c>
      <c r="O543" s="2" t="s">
        <v>59</v>
      </c>
      <c r="P543" s="8">
        <v>10000</v>
      </c>
    </row>
    <row r="544" spans="1:16" x14ac:dyDescent="0.3">
      <c r="A544" s="16"/>
      <c r="B544" s="1">
        <v>543</v>
      </c>
      <c r="C544" s="1" t="s">
        <v>179</v>
      </c>
      <c r="D544" s="1">
        <v>1950670602</v>
      </c>
      <c r="E544" s="1" t="s">
        <v>1052</v>
      </c>
      <c r="F544" s="1" t="s">
        <v>1226</v>
      </c>
      <c r="G544" s="1" t="s">
        <v>88</v>
      </c>
      <c r="H544" s="1" t="s">
        <v>18</v>
      </c>
      <c r="I544" s="1" t="s">
        <v>120</v>
      </c>
      <c r="J544" s="1" t="s">
        <v>20</v>
      </c>
      <c r="K544" s="2" t="s">
        <v>20</v>
      </c>
      <c r="L544" s="6">
        <v>77</v>
      </c>
      <c r="M544" s="2">
        <v>1.32</v>
      </c>
      <c r="N544" s="6" t="s">
        <v>58</v>
      </c>
      <c r="O544" s="2" t="s">
        <v>22</v>
      </c>
      <c r="P544" s="8">
        <v>57000</v>
      </c>
    </row>
    <row r="545" spans="1:16" x14ac:dyDescent="0.3">
      <c r="A545" s="16"/>
      <c r="B545" s="1">
        <v>544</v>
      </c>
      <c r="C545" s="1" t="s">
        <v>179</v>
      </c>
      <c r="D545" s="1">
        <v>55497106</v>
      </c>
      <c r="E545" s="1" t="s">
        <v>638</v>
      </c>
      <c r="F545" s="1" t="s">
        <v>639</v>
      </c>
      <c r="G545" s="1" t="s">
        <v>88</v>
      </c>
      <c r="H545" s="1" t="s">
        <v>18</v>
      </c>
      <c r="I545" s="1" t="s">
        <v>120</v>
      </c>
      <c r="J545" s="1" t="s">
        <v>20</v>
      </c>
      <c r="K545" s="2" t="s">
        <v>20</v>
      </c>
      <c r="L545" s="6">
        <v>65</v>
      </c>
      <c r="M545" s="2">
        <v>1.6</v>
      </c>
      <c r="N545" s="6" t="s">
        <v>21</v>
      </c>
      <c r="O545" s="2" t="s">
        <v>59</v>
      </c>
      <c r="P545" s="8">
        <v>31000</v>
      </c>
    </row>
    <row r="546" spans="1:16" x14ac:dyDescent="0.3">
      <c r="A546" s="16"/>
      <c r="B546" s="1">
        <v>545</v>
      </c>
      <c r="C546" s="1" t="s">
        <v>179</v>
      </c>
      <c r="D546" s="1">
        <v>54118988</v>
      </c>
      <c r="E546" s="1" t="s">
        <v>640</v>
      </c>
      <c r="F546" s="1" t="s">
        <v>641</v>
      </c>
      <c r="G546" s="1" t="s">
        <v>17</v>
      </c>
      <c r="H546" s="1" t="s">
        <v>18</v>
      </c>
      <c r="I546" s="1" t="s">
        <v>19</v>
      </c>
      <c r="J546" s="1" t="s">
        <v>20</v>
      </c>
      <c r="K546" s="2" t="s">
        <v>20</v>
      </c>
      <c r="L546" s="6">
        <v>70</v>
      </c>
      <c r="M546" s="2">
        <v>1.67</v>
      </c>
      <c r="N546" s="6" t="s">
        <v>21</v>
      </c>
      <c r="O546" s="2" t="s">
        <v>22</v>
      </c>
      <c r="P546" s="8">
        <v>63000</v>
      </c>
    </row>
    <row r="547" spans="1:16" x14ac:dyDescent="0.3">
      <c r="A547" s="16"/>
      <c r="B547" s="1">
        <v>546</v>
      </c>
      <c r="C547" s="1" t="s">
        <v>179</v>
      </c>
      <c r="D547" s="1">
        <v>25609959</v>
      </c>
      <c r="E547" s="1" t="s">
        <v>642</v>
      </c>
      <c r="F547" s="1" t="s">
        <v>643</v>
      </c>
      <c r="G547" s="1" t="s">
        <v>17</v>
      </c>
      <c r="H547" s="1" t="s">
        <v>18</v>
      </c>
      <c r="I547" s="1" t="s">
        <v>30</v>
      </c>
      <c r="J547" s="1" t="s">
        <v>20</v>
      </c>
      <c r="K547" s="2" t="s">
        <v>20</v>
      </c>
      <c r="L547" s="6">
        <v>37</v>
      </c>
      <c r="M547" s="2">
        <v>0</v>
      </c>
      <c r="N547" s="6" t="s">
        <v>31</v>
      </c>
      <c r="O547" s="2" t="s">
        <v>32</v>
      </c>
      <c r="P547" s="8">
        <v>0</v>
      </c>
    </row>
    <row r="548" spans="1:16" x14ac:dyDescent="0.3">
      <c r="A548" s="16"/>
      <c r="B548" s="1">
        <v>547</v>
      </c>
      <c r="C548" s="1" t="s">
        <v>179</v>
      </c>
      <c r="D548" s="1">
        <v>54640156</v>
      </c>
      <c r="E548" s="1" t="s">
        <v>644</v>
      </c>
      <c r="F548" s="1" t="s">
        <v>645</v>
      </c>
      <c r="G548" s="1" t="s">
        <v>17</v>
      </c>
      <c r="H548" s="1" t="s">
        <v>25</v>
      </c>
      <c r="I548" s="1" t="s">
        <v>184</v>
      </c>
      <c r="J548" s="1" t="s">
        <v>20</v>
      </c>
      <c r="K548" s="2" t="s">
        <v>20</v>
      </c>
      <c r="L548" s="6">
        <v>52</v>
      </c>
      <c r="M548" s="2">
        <v>1.31</v>
      </c>
      <c r="N548" s="6" t="s">
        <v>21</v>
      </c>
      <c r="O548" s="2" t="s">
        <v>22</v>
      </c>
      <c r="P548" s="8">
        <v>81000</v>
      </c>
    </row>
    <row r="549" spans="1:16" x14ac:dyDescent="0.3">
      <c r="A549" s="16"/>
      <c r="B549" s="1">
        <v>548</v>
      </c>
      <c r="C549" s="1" t="s">
        <v>179</v>
      </c>
      <c r="D549" s="1">
        <v>55445719</v>
      </c>
      <c r="E549" s="1" t="s">
        <v>646</v>
      </c>
      <c r="F549" s="1" t="s">
        <v>647</v>
      </c>
      <c r="G549" s="1" t="s">
        <v>17</v>
      </c>
      <c r="H549" s="1" t="s">
        <v>18</v>
      </c>
      <c r="I549" s="1" t="s">
        <v>19</v>
      </c>
      <c r="J549" s="1" t="s">
        <v>20</v>
      </c>
      <c r="K549" s="2" t="s">
        <v>20</v>
      </c>
      <c r="L549" s="6">
        <v>34</v>
      </c>
      <c r="M549" s="2">
        <v>2.2400000000000002</v>
      </c>
      <c r="N549" s="6" t="s">
        <v>21</v>
      </c>
      <c r="O549" s="2" t="s">
        <v>22</v>
      </c>
      <c r="P549" s="8">
        <v>66000</v>
      </c>
    </row>
    <row r="550" spans="1:16" x14ac:dyDescent="0.3">
      <c r="A550" s="16"/>
      <c r="B550" s="1">
        <v>549</v>
      </c>
      <c r="C550" s="1" t="s">
        <v>179</v>
      </c>
      <c r="D550" s="1">
        <v>811302685</v>
      </c>
      <c r="E550" s="1" t="s">
        <v>648</v>
      </c>
      <c r="F550" s="1" t="s">
        <v>649</v>
      </c>
      <c r="G550" s="1" t="s">
        <v>17</v>
      </c>
      <c r="H550" s="1" t="s">
        <v>18</v>
      </c>
      <c r="I550" s="1" t="s">
        <v>19</v>
      </c>
      <c r="J550" s="1" t="s">
        <v>20</v>
      </c>
      <c r="K550" s="2" t="s">
        <v>20</v>
      </c>
      <c r="L550" s="6">
        <v>51</v>
      </c>
      <c r="M550" s="2">
        <v>0.79</v>
      </c>
      <c r="N550" s="6" t="s">
        <v>58</v>
      </c>
      <c r="O550" s="2" t="s">
        <v>74</v>
      </c>
      <c r="P550" s="8">
        <v>55000</v>
      </c>
    </row>
    <row r="551" spans="1:16" x14ac:dyDescent="0.3">
      <c r="A551" s="16"/>
      <c r="B551" s="1">
        <v>550</v>
      </c>
      <c r="C551" s="1" t="s">
        <v>179</v>
      </c>
      <c r="D551" s="1">
        <v>55125901</v>
      </c>
      <c r="E551" s="1" t="s">
        <v>650</v>
      </c>
      <c r="F551" s="1" t="s">
        <v>229</v>
      </c>
      <c r="G551" s="1" t="s">
        <v>17</v>
      </c>
      <c r="H551" s="1" t="s">
        <v>18</v>
      </c>
      <c r="I551" s="1" t="s">
        <v>120</v>
      </c>
      <c r="J551" s="1" t="s">
        <v>20</v>
      </c>
      <c r="K551" s="2" t="s">
        <v>20</v>
      </c>
      <c r="L551" s="6">
        <v>60</v>
      </c>
      <c r="M551" s="2">
        <v>0.83</v>
      </c>
      <c r="N551" s="6" t="s">
        <v>21</v>
      </c>
      <c r="O551" s="2" t="s">
        <v>22</v>
      </c>
      <c r="P551" s="8">
        <v>25000</v>
      </c>
    </row>
    <row r="552" spans="1:16" x14ac:dyDescent="0.3">
      <c r="A552" s="16"/>
      <c r="B552" s="1">
        <v>551</v>
      </c>
      <c r="C552" s="1" t="s">
        <v>179</v>
      </c>
      <c r="D552" s="1">
        <v>1950669410</v>
      </c>
      <c r="E552" s="1" t="s">
        <v>1054</v>
      </c>
      <c r="F552" s="1" t="s">
        <v>1228</v>
      </c>
      <c r="G552" s="1" t="s">
        <v>17</v>
      </c>
      <c r="H552" s="1" t="s">
        <v>18</v>
      </c>
      <c r="I552" s="1" t="s">
        <v>30</v>
      </c>
      <c r="J552" s="1" t="s">
        <v>20</v>
      </c>
      <c r="K552" s="2" t="s">
        <v>1015</v>
      </c>
      <c r="L552" s="6">
        <v>76</v>
      </c>
      <c r="M552" s="2">
        <v>0</v>
      </c>
      <c r="N552" s="6" t="s">
        <v>31</v>
      </c>
      <c r="O552" s="2" t="s">
        <v>32</v>
      </c>
      <c r="P552" s="8">
        <v>0</v>
      </c>
    </row>
    <row r="553" spans="1:16" x14ac:dyDescent="0.3">
      <c r="A553" s="16"/>
      <c r="B553" s="1">
        <v>552</v>
      </c>
      <c r="C553" s="1" t="s">
        <v>179</v>
      </c>
      <c r="D553" s="1">
        <v>1950680941</v>
      </c>
      <c r="E553" s="1" t="s">
        <v>1055</v>
      </c>
      <c r="F553" s="1" t="s">
        <v>833</v>
      </c>
      <c r="G553" s="1" t="s">
        <v>17</v>
      </c>
      <c r="H553" s="1" t="s">
        <v>18</v>
      </c>
      <c r="I553" s="1" t="s">
        <v>30</v>
      </c>
      <c r="J553" s="1" t="s">
        <v>20</v>
      </c>
      <c r="K553" s="2" t="s">
        <v>20</v>
      </c>
      <c r="L553" s="6">
        <v>64</v>
      </c>
      <c r="M553" s="2">
        <v>0</v>
      </c>
      <c r="N553" s="6" t="s">
        <v>31</v>
      </c>
      <c r="O553" s="2" t="s">
        <v>32</v>
      </c>
      <c r="P553" s="8">
        <v>0</v>
      </c>
    </row>
    <row r="554" spans="1:16" x14ac:dyDescent="0.3">
      <c r="A554" s="16"/>
      <c r="B554" s="1">
        <v>553</v>
      </c>
      <c r="C554" s="1" t="s">
        <v>179</v>
      </c>
      <c r="D554" s="1">
        <v>25605522</v>
      </c>
      <c r="E554" s="1" t="s">
        <v>651</v>
      </c>
      <c r="F554" s="1" t="s">
        <v>652</v>
      </c>
      <c r="G554" s="1" t="s">
        <v>17</v>
      </c>
      <c r="H554" s="1" t="s">
        <v>18</v>
      </c>
      <c r="I554" s="1" t="s">
        <v>120</v>
      </c>
      <c r="J554" s="1" t="s">
        <v>20</v>
      </c>
      <c r="K554" s="2" t="s">
        <v>20</v>
      </c>
      <c r="L554" s="6">
        <v>50</v>
      </c>
      <c r="M554" s="2">
        <v>0.84</v>
      </c>
      <c r="N554" s="6" t="s">
        <v>21</v>
      </c>
      <c r="O554" s="2" t="s">
        <v>361</v>
      </c>
      <c r="P554" s="8">
        <v>35000</v>
      </c>
    </row>
    <row r="555" spans="1:16" x14ac:dyDescent="0.3">
      <c r="A555" s="16"/>
      <c r="B555" s="1">
        <v>554</v>
      </c>
      <c r="C555" s="1" t="s">
        <v>179</v>
      </c>
      <c r="D555" s="1">
        <v>55938139</v>
      </c>
      <c r="E555" s="1" t="s">
        <v>653</v>
      </c>
      <c r="F555" s="1" t="s">
        <v>632</v>
      </c>
      <c r="G555" s="1" t="s">
        <v>17</v>
      </c>
      <c r="H555" s="1" t="s">
        <v>18</v>
      </c>
      <c r="I555" s="1" t="s">
        <v>30</v>
      </c>
      <c r="J555" s="1" t="s">
        <v>1015</v>
      </c>
      <c r="K555" s="2" t="s">
        <v>1015</v>
      </c>
      <c r="L555" s="6">
        <v>42</v>
      </c>
      <c r="M555" s="2">
        <v>0</v>
      </c>
      <c r="N555" s="6" t="s">
        <v>31</v>
      </c>
      <c r="O555" s="2" t="s">
        <v>32</v>
      </c>
      <c r="P555" s="8">
        <v>0</v>
      </c>
    </row>
    <row r="556" spans="1:16" x14ac:dyDescent="0.3">
      <c r="A556" s="16"/>
      <c r="B556" s="1">
        <v>555</v>
      </c>
      <c r="C556" s="1" t="s">
        <v>179</v>
      </c>
      <c r="D556" s="1">
        <v>55524933</v>
      </c>
      <c r="E556" s="1" t="s">
        <v>654</v>
      </c>
      <c r="F556" s="1" t="s">
        <v>655</v>
      </c>
      <c r="G556" s="1" t="s">
        <v>88</v>
      </c>
      <c r="H556" s="1" t="s">
        <v>25</v>
      </c>
      <c r="I556" s="1" t="s">
        <v>216</v>
      </c>
      <c r="J556" s="1" t="s">
        <v>20</v>
      </c>
      <c r="K556" s="2" t="s">
        <v>20</v>
      </c>
      <c r="L556" s="6">
        <v>40</v>
      </c>
      <c r="M556" s="2">
        <v>0.6</v>
      </c>
      <c r="N556" s="6" t="s">
        <v>58</v>
      </c>
      <c r="O556" s="2" t="s">
        <v>55</v>
      </c>
      <c r="P556" s="8">
        <v>22000</v>
      </c>
    </row>
    <row r="557" spans="1:16" x14ac:dyDescent="0.3">
      <c r="A557" s="16"/>
      <c r="B557" s="1">
        <v>556</v>
      </c>
      <c r="C557" s="1" t="s">
        <v>179</v>
      </c>
      <c r="D557" s="1">
        <v>55151351</v>
      </c>
      <c r="E557" s="1" t="s">
        <v>656</v>
      </c>
      <c r="F557" s="1" t="s">
        <v>657</v>
      </c>
      <c r="G557" s="1" t="s">
        <v>88</v>
      </c>
      <c r="H557" s="1" t="s">
        <v>18</v>
      </c>
      <c r="I557" s="1" t="s">
        <v>120</v>
      </c>
      <c r="J557" s="1" t="s">
        <v>20</v>
      </c>
      <c r="K557" s="2" t="s">
        <v>20</v>
      </c>
      <c r="L557" s="6">
        <v>71</v>
      </c>
      <c r="M557" s="2">
        <v>0.19</v>
      </c>
      <c r="N557" s="6" t="s">
        <v>21</v>
      </c>
      <c r="O557" s="2" t="s">
        <v>22</v>
      </c>
      <c r="P557" s="8">
        <v>12000</v>
      </c>
    </row>
    <row r="558" spans="1:16" x14ac:dyDescent="0.3">
      <c r="A558" s="16"/>
      <c r="B558" s="1">
        <v>557</v>
      </c>
      <c r="C558" s="1" t="s">
        <v>179</v>
      </c>
      <c r="D558" s="1">
        <v>811301472</v>
      </c>
      <c r="E558" s="1" t="s">
        <v>1151</v>
      </c>
      <c r="F558" s="1" t="s">
        <v>1283</v>
      </c>
      <c r="G558" s="1" t="s">
        <v>88</v>
      </c>
      <c r="H558" s="1" t="s">
        <v>25</v>
      </c>
      <c r="I558" s="1" t="s">
        <v>216</v>
      </c>
      <c r="J558" s="1" t="s">
        <v>20</v>
      </c>
      <c r="K558" s="2" t="s">
        <v>20</v>
      </c>
      <c r="L558" s="6">
        <v>58</v>
      </c>
      <c r="M558" s="2">
        <v>1.1000000000000001</v>
      </c>
      <c r="N558" s="6" t="s">
        <v>21</v>
      </c>
      <c r="O558" s="2" t="s">
        <v>27</v>
      </c>
      <c r="P558" s="8">
        <v>25000</v>
      </c>
    </row>
    <row r="559" spans="1:16" x14ac:dyDescent="0.3">
      <c r="A559" s="16"/>
      <c r="B559" s="1">
        <v>558</v>
      </c>
      <c r="C559" s="1" t="s">
        <v>179</v>
      </c>
      <c r="D559" s="1">
        <v>54148360</v>
      </c>
      <c r="E559" s="1" t="s">
        <v>658</v>
      </c>
      <c r="F559" s="1" t="s">
        <v>659</v>
      </c>
      <c r="G559" s="1" t="s">
        <v>17</v>
      </c>
      <c r="H559" s="1" t="s">
        <v>18</v>
      </c>
      <c r="I559" s="1" t="s">
        <v>19</v>
      </c>
      <c r="J559" s="1" t="s">
        <v>20</v>
      </c>
      <c r="K559" s="2" t="s">
        <v>20</v>
      </c>
      <c r="L559" s="6">
        <v>28</v>
      </c>
      <c r="M559" s="2">
        <v>4.87</v>
      </c>
      <c r="N559" s="6" t="s">
        <v>21</v>
      </c>
      <c r="O559" s="2" t="s">
        <v>22</v>
      </c>
      <c r="P559" s="8">
        <v>178000</v>
      </c>
    </row>
    <row r="560" spans="1:16" x14ac:dyDescent="0.3">
      <c r="A560" s="16"/>
      <c r="B560" s="1">
        <v>559</v>
      </c>
      <c r="C560" s="1" t="s">
        <v>179</v>
      </c>
      <c r="D560" s="1">
        <v>55607877</v>
      </c>
      <c r="E560" s="1" t="s">
        <v>660</v>
      </c>
      <c r="F560" s="1" t="s">
        <v>661</v>
      </c>
      <c r="G560" s="1" t="s">
        <v>17</v>
      </c>
      <c r="H560" s="1" t="s">
        <v>25</v>
      </c>
      <c r="I560" s="1" t="s">
        <v>184</v>
      </c>
      <c r="J560" s="1" t="s">
        <v>1015</v>
      </c>
      <c r="K560" s="2" t="s">
        <v>1015</v>
      </c>
      <c r="L560" s="6">
        <v>33</v>
      </c>
      <c r="M560" s="2">
        <v>3.47</v>
      </c>
      <c r="N560" s="6" t="s">
        <v>58</v>
      </c>
      <c r="O560" s="2" t="s">
        <v>22</v>
      </c>
      <c r="P560" s="8">
        <v>167000</v>
      </c>
    </row>
    <row r="561" spans="1:16" x14ac:dyDescent="0.3">
      <c r="A561" s="16"/>
      <c r="B561" s="1">
        <v>560</v>
      </c>
      <c r="C561" s="1" t="s">
        <v>179</v>
      </c>
      <c r="D561" s="1">
        <v>55465212</v>
      </c>
      <c r="E561" s="1" t="s">
        <v>662</v>
      </c>
      <c r="F561" s="1" t="s">
        <v>663</v>
      </c>
      <c r="G561" s="1" t="s">
        <v>17</v>
      </c>
      <c r="H561" s="1" t="s">
        <v>25</v>
      </c>
      <c r="I561" s="1" t="s">
        <v>216</v>
      </c>
      <c r="J561" s="1" t="s">
        <v>20</v>
      </c>
      <c r="K561" s="2" t="s">
        <v>20</v>
      </c>
      <c r="L561" s="6">
        <v>37</v>
      </c>
      <c r="M561" s="2">
        <v>1.43</v>
      </c>
      <c r="N561" s="6" t="s">
        <v>21</v>
      </c>
      <c r="O561" s="2" t="s">
        <v>22</v>
      </c>
      <c r="P561" s="8">
        <v>61000</v>
      </c>
    </row>
    <row r="562" spans="1:16" x14ac:dyDescent="0.3">
      <c r="A562" s="16"/>
      <c r="B562" s="1">
        <v>561</v>
      </c>
      <c r="C562" s="1" t="s">
        <v>179</v>
      </c>
      <c r="D562" s="1">
        <v>1950669045</v>
      </c>
      <c r="E562" s="1" t="s">
        <v>1056</v>
      </c>
      <c r="F562" s="1" t="s">
        <v>1229</v>
      </c>
      <c r="G562" s="1" t="s">
        <v>17</v>
      </c>
      <c r="H562" s="1" t="s">
        <v>18</v>
      </c>
      <c r="I562" s="1" t="s">
        <v>30</v>
      </c>
      <c r="J562" s="1" t="s">
        <v>20</v>
      </c>
      <c r="K562" s="2" t="s">
        <v>20</v>
      </c>
      <c r="L562" s="6">
        <v>71</v>
      </c>
      <c r="M562" s="2">
        <v>0</v>
      </c>
      <c r="N562" s="6" t="s">
        <v>31</v>
      </c>
      <c r="O562" s="2" t="s">
        <v>32</v>
      </c>
      <c r="P562" s="8">
        <v>0</v>
      </c>
    </row>
    <row r="563" spans="1:16" x14ac:dyDescent="0.3">
      <c r="A563" s="16"/>
      <c r="B563" s="1">
        <v>562</v>
      </c>
      <c r="C563" s="1" t="s">
        <v>179</v>
      </c>
      <c r="D563" s="1">
        <v>55475449</v>
      </c>
      <c r="E563" s="1" t="s">
        <v>664</v>
      </c>
      <c r="F563" s="1" t="s">
        <v>665</v>
      </c>
      <c r="G563" s="1" t="s">
        <v>17</v>
      </c>
      <c r="H563" s="1" t="s">
        <v>25</v>
      </c>
      <c r="I563" s="1" t="s">
        <v>26</v>
      </c>
      <c r="J563" s="1" t="s">
        <v>20</v>
      </c>
      <c r="K563" s="2" t="s">
        <v>20</v>
      </c>
      <c r="L563" s="6">
        <v>45</v>
      </c>
      <c r="M563" s="2">
        <v>6.79</v>
      </c>
      <c r="N563" s="6" t="s">
        <v>21</v>
      </c>
      <c r="O563" s="2" t="s">
        <v>55</v>
      </c>
      <c r="P563" s="8">
        <v>199000</v>
      </c>
    </row>
    <row r="564" spans="1:16" x14ac:dyDescent="0.3">
      <c r="A564" s="16"/>
      <c r="B564" s="1">
        <v>563</v>
      </c>
      <c r="C564" s="1" t="s">
        <v>179</v>
      </c>
      <c r="D564" s="1">
        <v>55136180</v>
      </c>
      <c r="E564" s="1" t="s">
        <v>666</v>
      </c>
      <c r="F564" s="1" t="s">
        <v>667</v>
      </c>
      <c r="G564" s="1" t="s">
        <v>17</v>
      </c>
      <c r="H564" s="1" t="s">
        <v>18</v>
      </c>
      <c r="I564" s="1" t="s">
        <v>19</v>
      </c>
      <c r="J564" s="1" t="s">
        <v>1015</v>
      </c>
      <c r="K564" s="2" t="s">
        <v>1015</v>
      </c>
      <c r="L564" s="6">
        <v>56</v>
      </c>
      <c r="M564" s="2">
        <v>4.34</v>
      </c>
      <c r="N564" s="6" t="s">
        <v>21</v>
      </c>
      <c r="O564" s="2" t="s">
        <v>361</v>
      </c>
      <c r="P564" s="8">
        <v>160000</v>
      </c>
    </row>
    <row r="565" spans="1:16" x14ac:dyDescent="0.3">
      <c r="A565" s="16"/>
      <c r="B565" s="1">
        <v>564</v>
      </c>
      <c r="C565" s="1" t="s">
        <v>179</v>
      </c>
      <c r="D565" s="1">
        <v>25608360</v>
      </c>
      <c r="E565" s="1" t="s">
        <v>668</v>
      </c>
      <c r="F565" s="1" t="s">
        <v>669</v>
      </c>
      <c r="G565" s="1" t="s">
        <v>17</v>
      </c>
      <c r="H565" s="1" t="s">
        <v>18</v>
      </c>
      <c r="I565" s="1" t="s">
        <v>19</v>
      </c>
      <c r="J565" s="1" t="s">
        <v>20</v>
      </c>
      <c r="K565" s="2" t="s">
        <v>20</v>
      </c>
      <c r="L565" s="6">
        <v>57</v>
      </c>
      <c r="M565" s="2">
        <v>3.18</v>
      </c>
      <c r="N565" s="6" t="s">
        <v>21</v>
      </c>
      <c r="O565" s="2" t="s">
        <v>22</v>
      </c>
      <c r="P565" s="8">
        <v>89000</v>
      </c>
    </row>
    <row r="566" spans="1:16" x14ac:dyDescent="0.3">
      <c r="A566" s="16"/>
      <c r="B566" s="1">
        <v>565</v>
      </c>
      <c r="C566" s="1" t="s">
        <v>179</v>
      </c>
      <c r="D566" s="1">
        <v>25606872</v>
      </c>
      <c r="E566" s="1" t="s">
        <v>670</v>
      </c>
      <c r="F566" s="1" t="s">
        <v>671</v>
      </c>
      <c r="G566" s="1" t="s">
        <v>17</v>
      </c>
      <c r="H566" s="1" t="s">
        <v>18</v>
      </c>
      <c r="I566" s="1" t="s">
        <v>19</v>
      </c>
      <c r="J566" s="1" t="s">
        <v>20</v>
      </c>
      <c r="K566" s="2" t="s">
        <v>20</v>
      </c>
      <c r="L566" s="6">
        <v>43</v>
      </c>
      <c r="M566" s="2">
        <v>1.83</v>
      </c>
      <c r="N566" s="6" t="s">
        <v>58</v>
      </c>
      <c r="O566" s="2" t="s">
        <v>59</v>
      </c>
      <c r="P566" s="8">
        <v>37000</v>
      </c>
    </row>
    <row r="567" spans="1:16" x14ac:dyDescent="0.3">
      <c r="A567" s="16"/>
      <c r="B567" s="1">
        <v>566</v>
      </c>
      <c r="C567" s="1" t="s">
        <v>179</v>
      </c>
      <c r="D567" s="1">
        <v>55155241</v>
      </c>
      <c r="E567" s="1" t="s">
        <v>672</v>
      </c>
      <c r="F567" s="1" t="s">
        <v>628</v>
      </c>
      <c r="G567" s="1" t="s">
        <v>88</v>
      </c>
      <c r="H567" s="1" t="s">
        <v>25</v>
      </c>
      <c r="I567" s="1" t="s">
        <v>26</v>
      </c>
      <c r="J567" s="1" t="s">
        <v>1015</v>
      </c>
      <c r="K567" s="2" t="s">
        <v>1015</v>
      </c>
      <c r="L567" s="6">
        <v>73</v>
      </c>
      <c r="M567" s="2">
        <v>1.01</v>
      </c>
      <c r="N567" s="6" t="s">
        <v>58</v>
      </c>
      <c r="O567" s="2" t="s">
        <v>55</v>
      </c>
      <c r="P567" s="8">
        <v>19000</v>
      </c>
    </row>
    <row r="568" spans="1:16" x14ac:dyDescent="0.3">
      <c r="A568" s="16"/>
      <c r="B568" s="1">
        <v>567</v>
      </c>
      <c r="C568" s="1" t="s">
        <v>179</v>
      </c>
      <c r="D568" s="1">
        <v>54115059</v>
      </c>
      <c r="E568" s="1" t="s">
        <v>673</v>
      </c>
      <c r="F568" s="1" t="s">
        <v>674</v>
      </c>
      <c r="G568" s="1" t="s">
        <v>17</v>
      </c>
      <c r="H568" s="1" t="s">
        <v>18</v>
      </c>
      <c r="I568" s="1" t="s">
        <v>19</v>
      </c>
      <c r="J568" s="1" t="s">
        <v>20</v>
      </c>
      <c r="K568" s="2" t="s">
        <v>20</v>
      </c>
      <c r="L568" s="6">
        <v>38</v>
      </c>
      <c r="M568" s="2">
        <v>0.28999999999999998</v>
      </c>
      <c r="N568" s="6" t="s">
        <v>58</v>
      </c>
      <c r="O568" s="2" t="s">
        <v>195</v>
      </c>
      <c r="P568" s="8">
        <v>12000</v>
      </c>
    </row>
    <row r="569" spans="1:16" x14ac:dyDescent="0.3">
      <c r="A569" s="16"/>
      <c r="B569" s="1">
        <v>568</v>
      </c>
      <c r="C569" s="1" t="s">
        <v>179</v>
      </c>
      <c r="D569" s="1">
        <v>811302758</v>
      </c>
      <c r="E569" s="1" t="s">
        <v>675</v>
      </c>
      <c r="F569" s="1" t="s">
        <v>225</v>
      </c>
      <c r="G569" s="1" t="s">
        <v>17</v>
      </c>
      <c r="H569" s="1" t="s">
        <v>18</v>
      </c>
      <c r="I569" s="1" t="s">
        <v>19</v>
      </c>
      <c r="J569" s="1" t="s">
        <v>20</v>
      </c>
      <c r="K569" s="2" t="s">
        <v>20</v>
      </c>
      <c r="L569" s="6">
        <v>49</v>
      </c>
      <c r="M569" s="2">
        <v>3.32</v>
      </c>
      <c r="N569" s="6" t="s">
        <v>21</v>
      </c>
      <c r="O569" s="2" t="s">
        <v>22</v>
      </c>
      <c r="P569" s="8">
        <v>160000</v>
      </c>
    </row>
    <row r="570" spans="1:16" x14ac:dyDescent="0.3">
      <c r="A570" s="16"/>
      <c r="B570" s="1">
        <v>569</v>
      </c>
      <c r="C570" s="1" t="s">
        <v>179</v>
      </c>
      <c r="D570" s="1">
        <v>55956115</v>
      </c>
      <c r="E570" s="1" t="s">
        <v>676</v>
      </c>
      <c r="F570" s="1" t="s">
        <v>144</v>
      </c>
      <c r="G570" s="1" t="s">
        <v>17</v>
      </c>
      <c r="H570" s="1" t="s">
        <v>18</v>
      </c>
      <c r="I570" s="1" t="s">
        <v>30</v>
      </c>
      <c r="J570" s="1" t="s">
        <v>20</v>
      </c>
      <c r="K570" s="2" t="s">
        <v>20</v>
      </c>
      <c r="L570" s="6">
        <v>50</v>
      </c>
      <c r="M570" s="2">
        <v>0</v>
      </c>
      <c r="N570" s="6" t="s">
        <v>31</v>
      </c>
      <c r="O570" s="2" t="s">
        <v>32</v>
      </c>
      <c r="P570" s="8">
        <v>0</v>
      </c>
    </row>
    <row r="571" spans="1:16" x14ac:dyDescent="0.3">
      <c r="A571" s="16"/>
      <c r="B571" s="1">
        <v>570</v>
      </c>
      <c r="C571" s="1" t="s">
        <v>179</v>
      </c>
      <c r="D571" s="1">
        <v>55600861</v>
      </c>
      <c r="E571" s="1" t="s">
        <v>677</v>
      </c>
      <c r="F571" s="1" t="s">
        <v>678</v>
      </c>
      <c r="G571" s="1" t="s">
        <v>17</v>
      </c>
      <c r="H571" s="1" t="s">
        <v>18</v>
      </c>
      <c r="I571" s="1" t="s">
        <v>30</v>
      </c>
      <c r="J571" s="1" t="s">
        <v>1015</v>
      </c>
      <c r="K571" s="2" t="s">
        <v>1015</v>
      </c>
      <c r="L571" s="6">
        <v>85</v>
      </c>
      <c r="M571" s="2">
        <v>0</v>
      </c>
      <c r="N571" s="6" t="s">
        <v>31</v>
      </c>
      <c r="O571" s="2" t="s">
        <v>32</v>
      </c>
      <c r="P571" s="8">
        <v>0</v>
      </c>
    </row>
    <row r="572" spans="1:16" x14ac:dyDescent="0.3">
      <c r="A572" s="16"/>
      <c r="B572" s="1">
        <v>571</v>
      </c>
      <c r="C572" s="1" t="s">
        <v>179</v>
      </c>
      <c r="D572" s="1">
        <v>811302693</v>
      </c>
      <c r="E572" s="1" t="s">
        <v>1152</v>
      </c>
      <c r="F572" s="1" t="s">
        <v>1284</v>
      </c>
      <c r="G572" s="1" t="s">
        <v>17</v>
      </c>
      <c r="H572" s="1" t="s">
        <v>18</v>
      </c>
      <c r="I572" s="1" t="s">
        <v>30</v>
      </c>
      <c r="J572" s="1" t="s">
        <v>20</v>
      </c>
      <c r="K572" s="2" t="s">
        <v>20</v>
      </c>
      <c r="L572" s="6">
        <v>74</v>
      </c>
      <c r="M572" s="2">
        <v>0</v>
      </c>
      <c r="N572" s="6" t="s">
        <v>31</v>
      </c>
      <c r="O572" s="2" t="s">
        <v>32</v>
      </c>
      <c r="P572" s="8">
        <v>0</v>
      </c>
    </row>
    <row r="573" spans="1:16" x14ac:dyDescent="0.3">
      <c r="A573" s="16"/>
      <c r="B573" s="1">
        <v>572</v>
      </c>
      <c r="C573" s="1" t="s">
        <v>179</v>
      </c>
      <c r="D573" s="1">
        <v>1950689046</v>
      </c>
      <c r="E573" s="1" t="s">
        <v>1057</v>
      </c>
      <c r="F573" s="1" t="s">
        <v>1230</v>
      </c>
      <c r="G573" s="1" t="s">
        <v>17</v>
      </c>
      <c r="H573" s="1" t="s">
        <v>18</v>
      </c>
      <c r="I573" s="1" t="s">
        <v>30</v>
      </c>
      <c r="J573" s="1" t="s">
        <v>20</v>
      </c>
      <c r="K573" s="2" t="s">
        <v>20</v>
      </c>
      <c r="L573" s="6">
        <v>41</v>
      </c>
      <c r="M573" s="2">
        <v>0</v>
      </c>
      <c r="N573" s="6" t="s">
        <v>31</v>
      </c>
      <c r="O573" s="2" t="s">
        <v>32</v>
      </c>
      <c r="P573" s="8">
        <v>0</v>
      </c>
    </row>
    <row r="574" spans="1:16" x14ac:dyDescent="0.3">
      <c r="A574" s="16"/>
      <c r="B574" s="1">
        <v>573</v>
      </c>
      <c r="C574" s="1" t="s">
        <v>179</v>
      </c>
      <c r="D574" s="1">
        <v>811302815</v>
      </c>
      <c r="E574" s="1" t="s">
        <v>679</v>
      </c>
      <c r="F574" s="1" t="s">
        <v>680</v>
      </c>
      <c r="G574" s="1" t="s">
        <v>17</v>
      </c>
      <c r="H574" s="1" t="s">
        <v>18</v>
      </c>
      <c r="I574" s="1" t="s">
        <v>19</v>
      </c>
      <c r="J574" s="1" t="s">
        <v>20</v>
      </c>
      <c r="K574" s="2" t="s">
        <v>20</v>
      </c>
      <c r="L574" s="6">
        <v>68</v>
      </c>
      <c r="M574" s="2">
        <v>2.74</v>
      </c>
      <c r="N574" s="6" t="s">
        <v>21</v>
      </c>
      <c r="O574" s="2" t="s">
        <v>59</v>
      </c>
      <c r="P574" s="8">
        <v>61000</v>
      </c>
    </row>
    <row r="575" spans="1:16" x14ac:dyDescent="0.3">
      <c r="A575" s="16"/>
      <c r="B575" s="1">
        <v>574</v>
      </c>
      <c r="C575" s="1" t="s">
        <v>179</v>
      </c>
      <c r="D575" s="1">
        <v>811303518</v>
      </c>
      <c r="E575" s="1" t="s">
        <v>1153</v>
      </c>
      <c r="F575" s="1" t="s">
        <v>1273</v>
      </c>
      <c r="G575" s="1" t="s">
        <v>17</v>
      </c>
      <c r="H575" s="1" t="s">
        <v>18</v>
      </c>
      <c r="I575" s="1" t="s">
        <v>30</v>
      </c>
      <c r="J575" s="1" t="s">
        <v>20</v>
      </c>
      <c r="K575" s="2" t="s">
        <v>20</v>
      </c>
      <c r="L575" s="6">
        <v>82</v>
      </c>
      <c r="M575" s="2">
        <v>0</v>
      </c>
      <c r="N575" s="6" t="s">
        <v>31</v>
      </c>
      <c r="O575" s="2" t="s">
        <v>32</v>
      </c>
      <c r="P575" s="8">
        <v>0</v>
      </c>
    </row>
    <row r="576" spans="1:16" x14ac:dyDescent="0.3">
      <c r="A576" s="16"/>
      <c r="B576" s="1">
        <v>575</v>
      </c>
      <c r="C576" s="1" t="s">
        <v>179</v>
      </c>
      <c r="D576" s="1">
        <v>811306450</v>
      </c>
      <c r="E576" s="1" t="s">
        <v>681</v>
      </c>
      <c r="F576" s="1" t="s">
        <v>682</v>
      </c>
      <c r="G576" s="1" t="s">
        <v>17</v>
      </c>
      <c r="H576" s="1" t="s">
        <v>18</v>
      </c>
      <c r="I576" s="1" t="s">
        <v>19</v>
      </c>
      <c r="J576" s="1" t="s">
        <v>20</v>
      </c>
      <c r="K576" s="2" t="s">
        <v>20</v>
      </c>
      <c r="L576" s="6">
        <v>58</v>
      </c>
      <c r="M576" s="2">
        <v>1.39</v>
      </c>
      <c r="N576" s="6" t="s">
        <v>21</v>
      </c>
      <c r="O576" s="2" t="s">
        <v>361</v>
      </c>
      <c r="P576" s="8">
        <v>45000</v>
      </c>
    </row>
    <row r="577" spans="1:16" x14ac:dyDescent="0.3">
      <c r="A577" s="16"/>
      <c r="B577" s="1">
        <v>576</v>
      </c>
      <c r="C577" s="1" t="s">
        <v>179</v>
      </c>
      <c r="D577" s="1">
        <v>1950688665</v>
      </c>
      <c r="E577" s="1" t="s">
        <v>1059</v>
      </c>
      <c r="F577" s="1" t="s">
        <v>1232</v>
      </c>
      <c r="G577" s="1" t="s">
        <v>17</v>
      </c>
      <c r="H577" s="1" t="s">
        <v>25</v>
      </c>
      <c r="I577" s="1" t="s">
        <v>216</v>
      </c>
      <c r="J577" s="1" t="s">
        <v>20</v>
      </c>
      <c r="K577" s="2" t="s">
        <v>20</v>
      </c>
      <c r="L577" s="6">
        <v>83</v>
      </c>
      <c r="M577" s="2">
        <v>1.58</v>
      </c>
      <c r="N577" s="6" t="s">
        <v>21</v>
      </c>
      <c r="O577" s="2" t="s">
        <v>55</v>
      </c>
      <c r="P577" s="8">
        <v>71000</v>
      </c>
    </row>
    <row r="578" spans="1:16" x14ac:dyDescent="0.3">
      <c r="A578" s="16"/>
      <c r="B578" s="1">
        <v>577</v>
      </c>
      <c r="C578" s="1" t="s">
        <v>179</v>
      </c>
      <c r="D578" s="1">
        <v>55150356</v>
      </c>
      <c r="E578" s="1" t="s">
        <v>683</v>
      </c>
      <c r="F578" s="1" t="s">
        <v>684</v>
      </c>
      <c r="G578" s="1" t="s">
        <v>17</v>
      </c>
      <c r="H578" s="1" t="s">
        <v>18</v>
      </c>
      <c r="I578" s="1" t="s">
        <v>19</v>
      </c>
      <c r="J578" s="1" t="s">
        <v>1015</v>
      </c>
      <c r="K578" s="2" t="s">
        <v>1015</v>
      </c>
      <c r="L578" s="6">
        <v>71</v>
      </c>
      <c r="M578" s="2">
        <v>4.8499999999999996</v>
      </c>
      <c r="N578" s="6" t="s">
        <v>58</v>
      </c>
      <c r="O578" s="2" t="s">
        <v>59</v>
      </c>
      <c r="P578" s="8">
        <v>206000</v>
      </c>
    </row>
    <row r="579" spans="1:16" x14ac:dyDescent="0.3">
      <c r="A579" s="16"/>
      <c r="B579" s="1">
        <v>578</v>
      </c>
      <c r="C579" s="1" t="s">
        <v>179</v>
      </c>
      <c r="D579" s="1">
        <v>22352238</v>
      </c>
      <c r="E579" s="1" t="s">
        <v>685</v>
      </c>
      <c r="F579" s="1" t="s">
        <v>356</v>
      </c>
      <c r="G579" s="1" t="s">
        <v>17</v>
      </c>
      <c r="H579" s="1" t="s">
        <v>25</v>
      </c>
      <c r="I579" s="1" t="s">
        <v>216</v>
      </c>
      <c r="J579" s="1" t="s">
        <v>20</v>
      </c>
      <c r="K579" s="2" t="s">
        <v>20</v>
      </c>
      <c r="L579" s="6">
        <v>65</v>
      </c>
      <c r="M579" s="2">
        <v>1.19</v>
      </c>
      <c r="N579" s="6" t="s">
        <v>21</v>
      </c>
      <c r="O579" s="2" t="s">
        <v>195</v>
      </c>
      <c r="P579" s="8">
        <v>48000</v>
      </c>
    </row>
    <row r="580" spans="1:16" x14ac:dyDescent="0.3">
      <c r="A580" s="16"/>
      <c r="B580" s="1">
        <v>579</v>
      </c>
      <c r="C580" s="1" t="s">
        <v>179</v>
      </c>
      <c r="D580" s="1">
        <v>55931561</v>
      </c>
      <c r="E580" s="1" t="s">
        <v>686</v>
      </c>
      <c r="F580" s="1" t="s">
        <v>687</v>
      </c>
      <c r="G580" s="1" t="s">
        <v>17</v>
      </c>
      <c r="H580" s="1" t="s">
        <v>18</v>
      </c>
      <c r="I580" s="1" t="s">
        <v>184</v>
      </c>
      <c r="J580" s="1" t="s">
        <v>1015</v>
      </c>
      <c r="K580" s="2" t="s">
        <v>1015</v>
      </c>
      <c r="L580" s="6">
        <v>44</v>
      </c>
      <c r="M580" s="2">
        <v>2.99</v>
      </c>
      <c r="N580" s="6" t="s">
        <v>21</v>
      </c>
      <c r="O580" s="2" t="s">
        <v>22</v>
      </c>
      <c r="P580" s="8">
        <v>77000</v>
      </c>
    </row>
    <row r="581" spans="1:16" x14ac:dyDescent="0.3">
      <c r="A581" s="16"/>
      <c r="B581" s="1">
        <v>580</v>
      </c>
      <c r="C581" s="1" t="s">
        <v>179</v>
      </c>
      <c r="D581" s="1">
        <v>55114230</v>
      </c>
      <c r="E581" s="1" t="s">
        <v>1154</v>
      </c>
      <c r="F581" s="1" t="s">
        <v>1285</v>
      </c>
      <c r="G581" s="1" t="s">
        <v>17</v>
      </c>
      <c r="H581" s="1" t="s">
        <v>18</v>
      </c>
      <c r="I581" s="1" t="s">
        <v>30</v>
      </c>
      <c r="J581" s="1" t="s">
        <v>20</v>
      </c>
      <c r="K581" s="2" t="s">
        <v>20</v>
      </c>
      <c r="L581" s="6">
        <v>44</v>
      </c>
      <c r="M581" s="2">
        <v>0</v>
      </c>
      <c r="N581" s="6" t="s">
        <v>31</v>
      </c>
      <c r="O581" s="2" t="s">
        <v>32</v>
      </c>
      <c r="P581" s="8">
        <v>0</v>
      </c>
    </row>
    <row r="582" spans="1:16" x14ac:dyDescent="0.3">
      <c r="A582" s="16"/>
      <c r="B582" s="1">
        <v>581</v>
      </c>
      <c r="C582" s="1" t="s">
        <v>179</v>
      </c>
      <c r="D582" s="1">
        <v>811302778</v>
      </c>
      <c r="E582" s="1" t="s">
        <v>688</v>
      </c>
      <c r="F582" s="1" t="s">
        <v>225</v>
      </c>
      <c r="G582" s="1" t="s">
        <v>17</v>
      </c>
      <c r="H582" s="1" t="s">
        <v>18</v>
      </c>
      <c r="I582" s="1" t="s">
        <v>19</v>
      </c>
      <c r="J582" s="1" t="s">
        <v>20</v>
      </c>
      <c r="K582" s="2" t="s">
        <v>20</v>
      </c>
      <c r="L582" s="6">
        <v>51</v>
      </c>
      <c r="M582" s="2">
        <v>1.29</v>
      </c>
      <c r="N582" s="6" t="s">
        <v>36</v>
      </c>
      <c r="O582" s="2" t="s">
        <v>27</v>
      </c>
      <c r="P582" s="8">
        <v>33000</v>
      </c>
    </row>
    <row r="583" spans="1:16" x14ac:dyDescent="0.3">
      <c r="A583" s="16"/>
      <c r="B583" s="1">
        <v>582</v>
      </c>
      <c r="C583" s="1" t="s">
        <v>179</v>
      </c>
      <c r="D583" s="1">
        <v>55549417</v>
      </c>
      <c r="E583" s="1" t="s">
        <v>689</v>
      </c>
      <c r="F583" s="1" t="s">
        <v>690</v>
      </c>
      <c r="G583" s="1" t="s">
        <v>17</v>
      </c>
      <c r="H583" s="1" t="s">
        <v>25</v>
      </c>
      <c r="I583" s="1" t="s">
        <v>184</v>
      </c>
      <c r="J583" s="1" t="s">
        <v>1015</v>
      </c>
      <c r="K583" s="2" t="s">
        <v>1015</v>
      </c>
      <c r="L583" s="6">
        <v>49</v>
      </c>
      <c r="M583" s="2">
        <v>0.82</v>
      </c>
      <c r="N583" s="6" t="s">
        <v>21</v>
      </c>
      <c r="O583" s="2" t="s">
        <v>55</v>
      </c>
      <c r="P583" s="8">
        <v>34000</v>
      </c>
    </row>
    <row r="584" spans="1:16" x14ac:dyDescent="0.3">
      <c r="A584" s="16"/>
      <c r="B584" s="1">
        <v>583</v>
      </c>
      <c r="C584" s="1" t="s">
        <v>179</v>
      </c>
      <c r="D584" s="1">
        <v>1950669063</v>
      </c>
      <c r="E584" s="1" t="s">
        <v>1062</v>
      </c>
      <c r="F584" s="1" t="s">
        <v>1235</v>
      </c>
      <c r="G584" s="1" t="s">
        <v>17</v>
      </c>
      <c r="H584" s="1" t="s">
        <v>25</v>
      </c>
      <c r="I584" s="1" t="s">
        <v>216</v>
      </c>
      <c r="J584" s="1" t="s">
        <v>20</v>
      </c>
      <c r="K584" s="2" t="s">
        <v>20</v>
      </c>
      <c r="L584" s="6">
        <v>61</v>
      </c>
      <c r="M584" s="2">
        <v>2.91</v>
      </c>
      <c r="N584" s="6" t="s">
        <v>21</v>
      </c>
      <c r="O584" s="2" t="s">
        <v>22</v>
      </c>
      <c r="P584" s="8">
        <v>75000</v>
      </c>
    </row>
    <row r="585" spans="1:16" x14ac:dyDescent="0.3">
      <c r="A585" s="16"/>
      <c r="B585" s="1">
        <v>584</v>
      </c>
      <c r="C585" s="1" t="s">
        <v>179</v>
      </c>
      <c r="D585" s="1">
        <v>54651691</v>
      </c>
      <c r="E585" s="1" t="s">
        <v>691</v>
      </c>
      <c r="F585" s="1" t="s">
        <v>692</v>
      </c>
      <c r="G585" s="1" t="s">
        <v>17</v>
      </c>
      <c r="H585" s="1" t="s">
        <v>25</v>
      </c>
      <c r="I585" s="1" t="s">
        <v>184</v>
      </c>
      <c r="J585" s="1" t="s">
        <v>20</v>
      </c>
      <c r="K585" s="2" t="s">
        <v>20</v>
      </c>
      <c r="L585" s="6">
        <v>55</v>
      </c>
      <c r="M585" s="2">
        <v>1.92</v>
      </c>
      <c r="N585" s="6" t="s">
        <v>58</v>
      </c>
      <c r="O585" s="2" t="s">
        <v>22</v>
      </c>
      <c r="P585" s="8">
        <v>76000</v>
      </c>
    </row>
    <row r="586" spans="1:16" x14ac:dyDescent="0.3">
      <c r="A586" s="16"/>
      <c r="B586" s="1">
        <v>585</v>
      </c>
      <c r="C586" s="1" t="s">
        <v>179</v>
      </c>
      <c r="D586" s="1">
        <v>55945351</v>
      </c>
      <c r="E586" s="1" t="s">
        <v>693</v>
      </c>
      <c r="F586" s="1" t="s">
        <v>400</v>
      </c>
      <c r="G586" s="1" t="s">
        <v>17</v>
      </c>
      <c r="H586" s="1" t="s">
        <v>18</v>
      </c>
      <c r="I586" s="1" t="s">
        <v>19</v>
      </c>
      <c r="J586" s="1" t="s">
        <v>20</v>
      </c>
      <c r="K586" s="2" t="s">
        <v>20</v>
      </c>
      <c r="L586" s="6">
        <v>84</v>
      </c>
      <c r="M586" s="2">
        <v>4.8499999999999996</v>
      </c>
      <c r="N586" s="6" t="s">
        <v>21</v>
      </c>
      <c r="O586" s="2" t="s">
        <v>74</v>
      </c>
      <c r="P586" s="8">
        <v>268000</v>
      </c>
    </row>
    <row r="587" spans="1:16" x14ac:dyDescent="0.3">
      <c r="A587" s="16"/>
      <c r="B587" s="1">
        <v>586</v>
      </c>
      <c r="C587" s="1" t="s">
        <v>179</v>
      </c>
      <c r="D587" s="1">
        <v>55944551</v>
      </c>
      <c r="E587" s="1" t="s">
        <v>694</v>
      </c>
      <c r="F587" s="1" t="s">
        <v>695</v>
      </c>
      <c r="G587" s="1" t="s">
        <v>17</v>
      </c>
      <c r="H587" s="1" t="s">
        <v>18</v>
      </c>
      <c r="I587" s="1" t="s">
        <v>30</v>
      </c>
      <c r="J587" s="1" t="s">
        <v>1015</v>
      </c>
      <c r="K587" s="2" t="s">
        <v>1015</v>
      </c>
      <c r="L587" s="6">
        <v>69</v>
      </c>
      <c r="M587" s="2">
        <v>0</v>
      </c>
      <c r="N587" s="6" t="s">
        <v>31</v>
      </c>
      <c r="O587" s="2" t="s">
        <v>32</v>
      </c>
      <c r="P587" s="8">
        <v>0</v>
      </c>
    </row>
    <row r="588" spans="1:16" x14ac:dyDescent="0.3">
      <c r="A588" s="16"/>
      <c r="B588" s="1">
        <v>587</v>
      </c>
      <c r="C588" s="1" t="s">
        <v>179</v>
      </c>
      <c r="D588" s="1">
        <v>55170006</v>
      </c>
      <c r="E588" s="1" t="s">
        <v>696</v>
      </c>
      <c r="F588" s="1" t="s">
        <v>220</v>
      </c>
      <c r="G588" s="1" t="s">
        <v>17</v>
      </c>
      <c r="H588" s="1" t="s">
        <v>25</v>
      </c>
      <c r="I588" s="1" t="s">
        <v>26</v>
      </c>
      <c r="J588" s="1" t="s">
        <v>1015</v>
      </c>
      <c r="K588" s="2" t="s">
        <v>1015</v>
      </c>
      <c r="L588" s="6">
        <v>54</v>
      </c>
      <c r="M588" s="2">
        <v>7.78</v>
      </c>
      <c r="N588" s="6" t="s">
        <v>21</v>
      </c>
      <c r="O588" s="2" t="s">
        <v>27</v>
      </c>
      <c r="P588" s="8">
        <v>388000</v>
      </c>
    </row>
    <row r="589" spans="1:16" x14ac:dyDescent="0.3">
      <c r="A589" s="16"/>
      <c r="B589" s="1">
        <v>588</v>
      </c>
      <c r="C589" s="1" t="s">
        <v>179</v>
      </c>
      <c r="D589" s="1">
        <v>55435714</v>
      </c>
      <c r="E589" s="1" t="s">
        <v>697</v>
      </c>
      <c r="F589" s="1" t="s">
        <v>698</v>
      </c>
      <c r="G589" s="1" t="s">
        <v>17</v>
      </c>
      <c r="H589" s="1" t="s">
        <v>25</v>
      </c>
      <c r="I589" s="1" t="s">
        <v>216</v>
      </c>
      <c r="J589" s="1" t="s">
        <v>20</v>
      </c>
      <c r="K589" s="2" t="s">
        <v>20</v>
      </c>
      <c r="L589" s="6">
        <v>40</v>
      </c>
      <c r="M589" s="2">
        <v>0.25</v>
      </c>
      <c r="N589" s="6" t="s">
        <v>21</v>
      </c>
      <c r="O589" s="2" t="s">
        <v>74</v>
      </c>
      <c r="P589" s="8">
        <v>25000</v>
      </c>
    </row>
    <row r="590" spans="1:16" x14ac:dyDescent="0.3">
      <c r="A590" s="16"/>
      <c r="B590" s="1">
        <v>589</v>
      </c>
      <c r="C590" s="1" t="s">
        <v>179</v>
      </c>
      <c r="D590" s="1">
        <v>55520138</v>
      </c>
      <c r="E590" s="1" t="s">
        <v>699</v>
      </c>
      <c r="F590" s="1" t="s">
        <v>700</v>
      </c>
      <c r="G590" s="1" t="s">
        <v>17</v>
      </c>
      <c r="H590" s="1" t="s">
        <v>18</v>
      </c>
      <c r="I590" s="1" t="s">
        <v>19</v>
      </c>
      <c r="J590" s="1" t="s">
        <v>20</v>
      </c>
      <c r="K590" s="2" t="s">
        <v>20</v>
      </c>
      <c r="L590" s="6">
        <v>63</v>
      </c>
      <c r="M590" s="2">
        <v>3.87</v>
      </c>
      <c r="N590" s="6" t="s">
        <v>21</v>
      </c>
      <c r="O590" s="2" t="s">
        <v>22</v>
      </c>
      <c r="P590" s="8">
        <v>139000</v>
      </c>
    </row>
    <row r="591" spans="1:16" x14ac:dyDescent="0.3">
      <c r="A591" s="16"/>
      <c r="B591" s="1">
        <v>590</v>
      </c>
      <c r="C591" s="1" t="s">
        <v>179</v>
      </c>
      <c r="D591" s="1">
        <v>811303480</v>
      </c>
      <c r="E591" s="1" t="s">
        <v>1155</v>
      </c>
      <c r="F591" s="1" t="s">
        <v>883</v>
      </c>
      <c r="G591" s="1" t="s">
        <v>17</v>
      </c>
      <c r="H591" s="1" t="s">
        <v>25</v>
      </c>
      <c r="I591" s="1" t="s">
        <v>216</v>
      </c>
      <c r="J591" s="1" t="s">
        <v>20</v>
      </c>
      <c r="K591" s="2" t="s">
        <v>20</v>
      </c>
      <c r="L591" s="6">
        <v>71</v>
      </c>
      <c r="M591" s="2">
        <v>2.15</v>
      </c>
      <c r="N591" s="6" t="s">
        <v>21</v>
      </c>
      <c r="O591" s="2" t="s">
        <v>41</v>
      </c>
      <c r="P591" s="8">
        <v>96000</v>
      </c>
    </row>
    <row r="592" spans="1:16" x14ac:dyDescent="0.3">
      <c r="A592" s="16"/>
      <c r="B592" s="1">
        <v>591</v>
      </c>
      <c r="C592" s="1" t="s">
        <v>179</v>
      </c>
      <c r="D592" s="1">
        <v>55159836</v>
      </c>
      <c r="E592" s="1" t="s">
        <v>1156</v>
      </c>
      <c r="F592" s="1" t="s">
        <v>701</v>
      </c>
      <c r="G592" s="1" t="s">
        <v>17</v>
      </c>
      <c r="H592" s="1" t="s">
        <v>18</v>
      </c>
      <c r="I592" s="1" t="s">
        <v>30</v>
      </c>
      <c r="J592" s="1" t="s">
        <v>20</v>
      </c>
      <c r="K592" s="2" t="s">
        <v>20</v>
      </c>
      <c r="L592" s="6">
        <v>64</v>
      </c>
      <c r="M592" s="2">
        <v>0</v>
      </c>
      <c r="N592" s="6" t="s">
        <v>31</v>
      </c>
      <c r="O592" s="2" t="s">
        <v>32</v>
      </c>
      <c r="P592" s="8">
        <v>0</v>
      </c>
    </row>
    <row r="593" spans="1:16" x14ac:dyDescent="0.3">
      <c r="A593" s="16"/>
      <c r="B593" s="1">
        <v>592</v>
      </c>
      <c r="C593" s="1" t="s">
        <v>179</v>
      </c>
      <c r="D593" s="1">
        <v>54634665</v>
      </c>
      <c r="E593" s="1" t="s">
        <v>702</v>
      </c>
      <c r="F593" s="1" t="s">
        <v>703</v>
      </c>
      <c r="G593" s="1" t="s">
        <v>17</v>
      </c>
      <c r="H593" s="1" t="s">
        <v>18</v>
      </c>
      <c r="I593" s="1" t="s">
        <v>184</v>
      </c>
      <c r="J593" s="1" t="s">
        <v>20</v>
      </c>
      <c r="K593" s="2" t="s">
        <v>20</v>
      </c>
      <c r="L593" s="6">
        <v>81</v>
      </c>
      <c r="M593" s="2">
        <v>1.93</v>
      </c>
      <c r="N593" s="6" t="s">
        <v>21</v>
      </c>
      <c r="O593" s="2" t="s">
        <v>22</v>
      </c>
      <c r="P593" s="8">
        <v>86000</v>
      </c>
    </row>
    <row r="594" spans="1:16" x14ac:dyDescent="0.3">
      <c r="A594" s="16"/>
      <c r="B594" s="1">
        <v>593</v>
      </c>
      <c r="C594" s="1" t="s">
        <v>179</v>
      </c>
      <c r="D594" s="1">
        <v>55521617</v>
      </c>
      <c r="E594" s="1" t="s">
        <v>704</v>
      </c>
      <c r="F594" s="1" t="s">
        <v>393</v>
      </c>
      <c r="G594" s="1" t="s">
        <v>17</v>
      </c>
      <c r="H594" s="1" t="s">
        <v>18</v>
      </c>
      <c r="I594" s="1" t="s">
        <v>30</v>
      </c>
      <c r="J594" s="1" t="s">
        <v>20</v>
      </c>
      <c r="K594" s="2" t="s">
        <v>20</v>
      </c>
      <c r="L594" s="6">
        <v>52</v>
      </c>
      <c r="M594" s="2">
        <v>0</v>
      </c>
      <c r="N594" s="6" t="s">
        <v>31</v>
      </c>
      <c r="O594" s="2" t="s">
        <v>32</v>
      </c>
      <c r="P594" s="8">
        <v>0</v>
      </c>
    </row>
    <row r="595" spans="1:16" x14ac:dyDescent="0.3">
      <c r="A595" s="16"/>
      <c r="B595" s="1">
        <v>594</v>
      </c>
      <c r="C595" s="1" t="s">
        <v>179</v>
      </c>
      <c r="D595" s="1">
        <v>54671154</v>
      </c>
      <c r="E595" s="1" t="s">
        <v>705</v>
      </c>
      <c r="F595" s="1" t="s">
        <v>706</v>
      </c>
      <c r="G595" s="1" t="s">
        <v>17</v>
      </c>
      <c r="H595" s="1" t="s">
        <v>18</v>
      </c>
      <c r="I595" s="1" t="s">
        <v>1304</v>
      </c>
      <c r="J595" s="1" t="s">
        <v>20</v>
      </c>
      <c r="K595" s="2" t="s">
        <v>20</v>
      </c>
      <c r="L595" s="6">
        <v>29</v>
      </c>
      <c r="M595" s="2">
        <v>0.66</v>
      </c>
      <c r="N595" s="6" t="s">
        <v>21</v>
      </c>
      <c r="O595" s="2" t="s">
        <v>27</v>
      </c>
      <c r="P595" s="8">
        <v>16000</v>
      </c>
    </row>
    <row r="596" spans="1:16" x14ac:dyDescent="0.3">
      <c r="A596" s="16"/>
      <c r="B596" s="1">
        <v>595</v>
      </c>
      <c r="C596" s="1" t="s">
        <v>179</v>
      </c>
      <c r="D596" s="1">
        <v>55471177</v>
      </c>
      <c r="E596" s="1" t="s">
        <v>707</v>
      </c>
      <c r="F596" s="1" t="s">
        <v>708</v>
      </c>
      <c r="G596" s="1" t="s">
        <v>17</v>
      </c>
      <c r="H596" s="1" t="s">
        <v>25</v>
      </c>
      <c r="I596" s="1" t="s">
        <v>26</v>
      </c>
      <c r="J596" s="1" t="s">
        <v>20</v>
      </c>
      <c r="K596" s="2" t="s">
        <v>20</v>
      </c>
      <c r="L596" s="6">
        <v>28</v>
      </c>
      <c r="M596" s="2">
        <v>1.78</v>
      </c>
      <c r="N596" s="6" t="s">
        <v>58</v>
      </c>
      <c r="O596" s="2" t="s">
        <v>22</v>
      </c>
      <c r="P596" s="8">
        <v>46000</v>
      </c>
    </row>
    <row r="597" spans="1:16" x14ac:dyDescent="0.3">
      <c r="A597" s="16"/>
      <c r="B597" s="1">
        <v>596</v>
      </c>
      <c r="C597" s="1" t="s">
        <v>179</v>
      </c>
      <c r="D597" s="1">
        <v>55507255</v>
      </c>
      <c r="E597" s="1" t="s">
        <v>709</v>
      </c>
      <c r="F597" s="1" t="s">
        <v>215</v>
      </c>
      <c r="G597" s="1" t="s">
        <v>17</v>
      </c>
      <c r="H597" s="1" t="s">
        <v>18</v>
      </c>
      <c r="I597" s="1" t="s">
        <v>19</v>
      </c>
      <c r="J597" s="1" t="s">
        <v>20</v>
      </c>
      <c r="K597" s="2" t="s">
        <v>20</v>
      </c>
      <c r="L597" s="6">
        <v>29</v>
      </c>
      <c r="M597" s="2">
        <v>3.83</v>
      </c>
      <c r="N597" s="6" t="s">
        <v>21</v>
      </c>
      <c r="O597" s="2" t="s">
        <v>22</v>
      </c>
      <c r="P597" s="8">
        <v>213000</v>
      </c>
    </row>
    <row r="598" spans="1:16" x14ac:dyDescent="0.3">
      <c r="A598" s="16"/>
      <c r="B598" s="1">
        <v>597</v>
      </c>
      <c r="C598" s="1" t="s">
        <v>179</v>
      </c>
      <c r="D598" s="1">
        <v>55941753</v>
      </c>
      <c r="E598" s="1" t="s">
        <v>710</v>
      </c>
      <c r="F598" s="1" t="s">
        <v>306</v>
      </c>
      <c r="G598" s="1" t="s">
        <v>17</v>
      </c>
      <c r="H598" s="1" t="s">
        <v>18</v>
      </c>
      <c r="I598" s="1" t="s">
        <v>35</v>
      </c>
      <c r="J598" s="1" t="s">
        <v>1015</v>
      </c>
      <c r="K598" s="2" t="s">
        <v>1015</v>
      </c>
      <c r="L598" s="6">
        <v>68</v>
      </c>
      <c r="M598" s="2">
        <v>0.83</v>
      </c>
      <c r="N598" s="6" t="s">
        <v>21</v>
      </c>
      <c r="O598" s="2" t="s">
        <v>22</v>
      </c>
      <c r="P598" s="8">
        <v>28000</v>
      </c>
    </row>
    <row r="599" spans="1:16" x14ac:dyDescent="0.3">
      <c r="A599" s="16"/>
      <c r="B599" s="1">
        <v>598</v>
      </c>
      <c r="C599" s="1" t="s">
        <v>179</v>
      </c>
      <c r="D599" s="1">
        <v>55434738</v>
      </c>
      <c r="E599" s="1" t="s">
        <v>711</v>
      </c>
      <c r="F599" s="1" t="s">
        <v>712</v>
      </c>
      <c r="G599" s="1" t="s">
        <v>17</v>
      </c>
      <c r="H599" s="1" t="s">
        <v>18</v>
      </c>
      <c r="I599" s="1" t="s">
        <v>19</v>
      </c>
      <c r="J599" s="1" t="s">
        <v>1015</v>
      </c>
      <c r="K599" s="2" t="s">
        <v>1015</v>
      </c>
      <c r="L599" s="6">
        <v>64</v>
      </c>
      <c r="M599" s="2">
        <v>2.4500000000000002</v>
      </c>
      <c r="N599" s="6" t="s">
        <v>36</v>
      </c>
      <c r="O599" s="2" t="s">
        <v>22</v>
      </c>
      <c r="P599" s="8">
        <v>135000</v>
      </c>
    </row>
    <row r="600" spans="1:16" x14ac:dyDescent="0.3">
      <c r="A600" s="16"/>
      <c r="B600" s="1">
        <v>599</v>
      </c>
      <c r="C600" s="1" t="s">
        <v>179</v>
      </c>
      <c r="D600" s="1">
        <v>55121154</v>
      </c>
      <c r="E600" s="1" t="s">
        <v>713</v>
      </c>
      <c r="F600" s="1" t="s">
        <v>714</v>
      </c>
      <c r="G600" s="1" t="s">
        <v>17</v>
      </c>
      <c r="H600" s="1" t="s">
        <v>25</v>
      </c>
      <c r="I600" s="1" t="s">
        <v>184</v>
      </c>
      <c r="J600" s="1" t="s">
        <v>1015</v>
      </c>
      <c r="K600" s="2" t="s">
        <v>1015</v>
      </c>
      <c r="L600" s="6">
        <v>82</v>
      </c>
      <c r="M600" s="2">
        <v>1.1299999999999999</v>
      </c>
      <c r="N600" s="6" t="s">
        <v>21</v>
      </c>
      <c r="O600" s="2" t="s">
        <v>41</v>
      </c>
      <c r="P600" s="8">
        <v>19000</v>
      </c>
    </row>
    <row r="601" spans="1:16" x14ac:dyDescent="0.3">
      <c r="A601" s="16"/>
      <c r="B601" s="1">
        <v>600</v>
      </c>
      <c r="C601" s="1" t="s">
        <v>179</v>
      </c>
      <c r="D601" s="1">
        <v>55165911</v>
      </c>
      <c r="E601" s="1" t="s">
        <v>1157</v>
      </c>
      <c r="F601" s="1" t="s">
        <v>1286</v>
      </c>
      <c r="G601" s="1" t="s">
        <v>17</v>
      </c>
      <c r="H601" s="1" t="s">
        <v>18</v>
      </c>
      <c r="I601" s="1" t="s">
        <v>19</v>
      </c>
      <c r="J601" s="1" t="s">
        <v>20</v>
      </c>
      <c r="K601" s="2" t="s">
        <v>20</v>
      </c>
      <c r="L601" s="6">
        <v>52</v>
      </c>
      <c r="M601" s="2">
        <v>4.1399999999999997</v>
      </c>
      <c r="N601" s="6" t="s">
        <v>21</v>
      </c>
      <c r="O601" s="2" t="s">
        <v>22</v>
      </c>
      <c r="P601" s="8">
        <v>159000</v>
      </c>
    </row>
    <row r="602" spans="1:16" x14ac:dyDescent="0.3">
      <c r="A602" s="16"/>
      <c r="B602" s="1">
        <v>601</v>
      </c>
      <c r="C602" s="1" t="s">
        <v>179</v>
      </c>
      <c r="D602" s="1">
        <v>1950669180</v>
      </c>
      <c r="E602" s="1" t="s">
        <v>1064</v>
      </c>
      <c r="F602" s="1" t="s">
        <v>1218</v>
      </c>
      <c r="G602" s="1" t="s">
        <v>17</v>
      </c>
      <c r="H602" s="1" t="s">
        <v>18</v>
      </c>
      <c r="I602" s="1" t="s">
        <v>30</v>
      </c>
      <c r="J602" s="1" t="s">
        <v>20</v>
      </c>
      <c r="K602" s="2" t="s">
        <v>20</v>
      </c>
      <c r="L602" s="6">
        <v>36</v>
      </c>
      <c r="M602" s="2">
        <v>0</v>
      </c>
      <c r="N602" s="6" t="s">
        <v>31</v>
      </c>
      <c r="O602" s="2" t="s">
        <v>32</v>
      </c>
      <c r="P602" s="8">
        <v>0</v>
      </c>
    </row>
    <row r="603" spans="1:16" x14ac:dyDescent="0.3">
      <c r="A603" s="16"/>
      <c r="B603" s="1">
        <v>602</v>
      </c>
      <c r="C603" s="1" t="s">
        <v>179</v>
      </c>
      <c r="D603" s="1">
        <v>47911754</v>
      </c>
      <c r="E603" s="1" t="s">
        <v>1158</v>
      </c>
      <c r="F603" s="1" t="s">
        <v>1245</v>
      </c>
      <c r="G603" s="1" t="s">
        <v>17</v>
      </c>
      <c r="H603" s="1" t="s">
        <v>18</v>
      </c>
      <c r="I603" s="1" t="s">
        <v>30</v>
      </c>
      <c r="J603" s="1" t="s">
        <v>20</v>
      </c>
      <c r="K603" s="2" t="s">
        <v>20</v>
      </c>
      <c r="L603" s="6">
        <v>38</v>
      </c>
      <c r="M603" s="2">
        <v>0</v>
      </c>
      <c r="N603" s="6" t="s">
        <v>31</v>
      </c>
      <c r="O603" s="2" t="s">
        <v>32</v>
      </c>
      <c r="P603" s="8">
        <v>0</v>
      </c>
    </row>
    <row r="604" spans="1:16" x14ac:dyDescent="0.3">
      <c r="A604" s="16"/>
      <c r="B604" s="1">
        <v>603</v>
      </c>
      <c r="C604" s="1" t="s">
        <v>179</v>
      </c>
      <c r="D604" s="1">
        <v>1950688843</v>
      </c>
      <c r="E604" s="1" t="s">
        <v>1159</v>
      </c>
      <c r="F604" s="1" t="s">
        <v>1267</v>
      </c>
      <c r="G604" s="1" t="s">
        <v>17</v>
      </c>
      <c r="H604" s="1" t="s">
        <v>25</v>
      </c>
      <c r="I604" s="1" t="s">
        <v>216</v>
      </c>
      <c r="J604" s="1" t="s">
        <v>20</v>
      </c>
      <c r="K604" s="2" t="s">
        <v>20</v>
      </c>
      <c r="L604" s="6">
        <v>62</v>
      </c>
      <c r="M604" s="2">
        <v>3.66</v>
      </c>
      <c r="N604" s="6" t="s">
        <v>21</v>
      </c>
      <c r="O604" s="2" t="s">
        <v>59</v>
      </c>
      <c r="P604" s="8">
        <v>83000</v>
      </c>
    </row>
    <row r="605" spans="1:16" x14ac:dyDescent="0.3">
      <c r="A605" s="16"/>
      <c r="B605" s="1">
        <v>604</v>
      </c>
      <c r="C605" s="1" t="s">
        <v>179</v>
      </c>
      <c r="D605" s="1">
        <v>55119591</v>
      </c>
      <c r="E605" s="1" t="s">
        <v>715</v>
      </c>
      <c r="F605" s="1" t="s">
        <v>716</v>
      </c>
      <c r="G605" s="1" t="s">
        <v>17</v>
      </c>
      <c r="H605" s="1" t="s">
        <v>18</v>
      </c>
      <c r="I605" s="1" t="s">
        <v>19</v>
      </c>
      <c r="J605" s="1" t="s">
        <v>20</v>
      </c>
      <c r="K605" s="2" t="s">
        <v>20</v>
      </c>
      <c r="L605" s="6">
        <v>56</v>
      </c>
      <c r="M605" s="2">
        <v>1.06</v>
      </c>
      <c r="N605" s="6" t="s">
        <v>58</v>
      </c>
      <c r="O605" s="2" t="s">
        <v>27</v>
      </c>
      <c r="P605" s="8">
        <v>36000</v>
      </c>
    </row>
    <row r="606" spans="1:16" x14ac:dyDescent="0.3">
      <c r="A606" s="16"/>
      <c r="B606" s="1">
        <v>605</v>
      </c>
      <c r="C606" s="1" t="s">
        <v>179</v>
      </c>
      <c r="D606" s="1">
        <v>811348223</v>
      </c>
      <c r="E606" s="1" t="s">
        <v>717</v>
      </c>
      <c r="F606" s="1" t="s">
        <v>718</v>
      </c>
      <c r="G606" s="1" t="s">
        <v>17</v>
      </c>
      <c r="H606" s="1" t="s">
        <v>25</v>
      </c>
      <c r="I606" s="1" t="s">
        <v>216</v>
      </c>
      <c r="J606" s="1" t="s">
        <v>20</v>
      </c>
      <c r="K606" s="2" t="s">
        <v>20</v>
      </c>
      <c r="L606" s="6">
        <v>67</v>
      </c>
      <c r="M606" s="2">
        <v>2.37</v>
      </c>
      <c r="N606" s="6" t="s">
        <v>21</v>
      </c>
      <c r="O606" s="2" t="s">
        <v>59</v>
      </c>
      <c r="P606" s="8">
        <v>71000</v>
      </c>
    </row>
    <row r="607" spans="1:16" x14ac:dyDescent="0.3">
      <c r="A607" s="16"/>
      <c r="B607" s="1">
        <v>606</v>
      </c>
      <c r="C607" s="1" t="s">
        <v>179</v>
      </c>
      <c r="D607" s="1">
        <v>55124001</v>
      </c>
      <c r="E607" s="1" t="s">
        <v>719</v>
      </c>
      <c r="F607" s="1" t="s">
        <v>720</v>
      </c>
      <c r="G607" s="1" t="s">
        <v>17</v>
      </c>
      <c r="H607" s="1" t="s">
        <v>18</v>
      </c>
      <c r="I607" s="1" t="s">
        <v>19</v>
      </c>
      <c r="J607" s="1" t="s">
        <v>20</v>
      </c>
      <c r="K607" s="2" t="s">
        <v>20</v>
      </c>
      <c r="L607" s="6">
        <v>83</v>
      </c>
      <c r="M607" s="2">
        <v>1.1000000000000001</v>
      </c>
      <c r="N607" s="6" t="s">
        <v>21</v>
      </c>
      <c r="O607" s="2" t="s">
        <v>361</v>
      </c>
      <c r="P607" s="8">
        <v>45000</v>
      </c>
    </row>
    <row r="608" spans="1:16" x14ac:dyDescent="0.3">
      <c r="A608" s="16"/>
      <c r="B608" s="1">
        <v>607</v>
      </c>
      <c r="C608" s="1" t="s">
        <v>179</v>
      </c>
      <c r="D608" s="1">
        <v>54665764</v>
      </c>
      <c r="E608" s="1" t="s">
        <v>1160</v>
      </c>
      <c r="F608" s="1" t="s">
        <v>721</v>
      </c>
      <c r="G608" s="1" t="s">
        <v>88</v>
      </c>
      <c r="H608" s="1" t="s">
        <v>25</v>
      </c>
      <c r="I608" s="1" t="s">
        <v>184</v>
      </c>
      <c r="J608" s="1" t="s">
        <v>20</v>
      </c>
      <c r="K608" s="2" t="s">
        <v>20</v>
      </c>
      <c r="L608" s="6">
        <v>71</v>
      </c>
      <c r="M608" s="2">
        <v>1.49</v>
      </c>
      <c r="N608" s="6" t="s">
        <v>21</v>
      </c>
      <c r="O608" s="2" t="s">
        <v>195</v>
      </c>
      <c r="P608" s="8">
        <v>73000</v>
      </c>
    </row>
    <row r="609" spans="1:16" x14ac:dyDescent="0.3">
      <c r="A609" s="16"/>
      <c r="B609" s="1">
        <v>608</v>
      </c>
      <c r="C609" s="1" t="s">
        <v>179</v>
      </c>
      <c r="D609" s="1">
        <v>1950689081</v>
      </c>
      <c r="E609" s="1" t="s">
        <v>1066</v>
      </c>
      <c r="F609" s="1" t="s">
        <v>1238</v>
      </c>
      <c r="G609" s="1" t="s">
        <v>17</v>
      </c>
      <c r="H609" s="1" t="s">
        <v>25</v>
      </c>
      <c r="I609" s="1" t="s">
        <v>216</v>
      </c>
      <c r="J609" s="1" t="s">
        <v>20</v>
      </c>
      <c r="K609" s="2" t="s">
        <v>1015</v>
      </c>
      <c r="L609" s="6">
        <v>56</v>
      </c>
      <c r="M609" s="2">
        <v>1.39</v>
      </c>
      <c r="N609" s="6" t="s">
        <v>21</v>
      </c>
      <c r="O609" s="2" t="s">
        <v>59</v>
      </c>
      <c r="P609" s="8">
        <v>37000</v>
      </c>
    </row>
    <row r="610" spans="1:16" x14ac:dyDescent="0.3">
      <c r="A610" s="16"/>
      <c r="B610" s="1">
        <v>609</v>
      </c>
      <c r="C610" s="1" t="s">
        <v>179</v>
      </c>
      <c r="D610" s="1">
        <v>54145189</v>
      </c>
      <c r="E610" s="1" t="s">
        <v>722</v>
      </c>
      <c r="F610" s="1" t="s">
        <v>723</v>
      </c>
      <c r="G610" s="1" t="s">
        <v>17</v>
      </c>
      <c r="H610" s="1" t="s">
        <v>18</v>
      </c>
      <c r="I610" s="1" t="s">
        <v>19</v>
      </c>
      <c r="J610" s="1" t="s">
        <v>20</v>
      </c>
      <c r="K610" s="2" t="s">
        <v>20</v>
      </c>
      <c r="L610" s="6">
        <v>68</v>
      </c>
      <c r="M610" s="2">
        <v>0.63</v>
      </c>
      <c r="N610" s="6" t="s">
        <v>21</v>
      </c>
      <c r="O610" s="2" t="s">
        <v>41</v>
      </c>
      <c r="P610" s="8">
        <v>18000</v>
      </c>
    </row>
    <row r="611" spans="1:16" x14ac:dyDescent="0.3">
      <c r="A611" s="16"/>
      <c r="B611" s="1">
        <v>610</v>
      </c>
      <c r="C611" s="1" t="s">
        <v>179</v>
      </c>
      <c r="D611" s="1">
        <v>811306390</v>
      </c>
      <c r="E611" s="1" t="s">
        <v>724</v>
      </c>
      <c r="F611" s="1" t="s">
        <v>725</v>
      </c>
      <c r="G611" s="1" t="s">
        <v>17</v>
      </c>
      <c r="H611" s="1" t="s">
        <v>18</v>
      </c>
      <c r="I611" s="1" t="s">
        <v>19</v>
      </c>
      <c r="J611" s="1" t="s">
        <v>20</v>
      </c>
      <c r="K611" s="2" t="s">
        <v>20</v>
      </c>
      <c r="L611" s="6">
        <v>55</v>
      </c>
      <c r="M611" s="2">
        <v>2.16</v>
      </c>
      <c r="N611" s="6" t="s">
        <v>21</v>
      </c>
      <c r="O611" s="2" t="s">
        <v>41</v>
      </c>
      <c r="P611" s="8">
        <v>100000</v>
      </c>
    </row>
    <row r="612" spans="1:16" x14ac:dyDescent="0.3">
      <c r="A612" s="16"/>
      <c r="B612" s="1">
        <v>611</v>
      </c>
      <c r="C612" s="1" t="s">
        <v>179</v>
      </c>
      <c r="D612" s="1">
        <v>55157292</v>
      </c>
      <c r="E612" s="1" t="s">
        <v>726</v>
      </c>
      <c r="F612" s="1" t="s">
        <v>727</v>
      </c>
      <c r="G612" s="1" t="s">
        <v>17</v>
      </c>
      <c r="H612" s="1" t="s">
        <v>25</v>
      </c>
      <c r="I612" s="1" t="s">
        <v>184</v>
      </c>
      <c r="J612" s="1" t="s">
        <v>1015</v>
      </c>
      <c r="K612" s="2" t="s">
        <v>1015</v>
      </c>
      <c r="L612" s="6">
        <v>68</v>
      </c>
      <c r="M612" s="2">
        <v>0.21</v>
      </c>
      <c r="N612" s="6" t="s">
        <v>36</v>
      </c>
      <c r="O612" s="2" t="s">
        <v>27</v>
      </c>
      <c r="P612" s="8">
        <v>10000</v>
      </c>
    </row>
    <row r="613" spans="1:16" x14ac:dyDescent="0.3">
      <c r="A613" s="16"/>
      <c r="B613" s="1">
        <v>612</v>
      </c>
      <c r="C613" s="1" t="s">
        <v>179</v>
      </c>
      <c r="D613" s="1">
        <v>55126435</v>
      </c>
      <c r="E613" s="1" t="s">
        <v>728</v>
      </c>
      <c r="F613" s="1" t="s">
        <v>729</v>
      </c>
      <c r="G613" s="1" t="s">
        <v>17</v>
      </c>
      <c r="H613" s="1" t="s">
        <v>18</v>
      </c>
      <c r="I613" s="1" t="s">
        <v>30</v>
      </c>
      <c r="J613" s="1" t="s">
        <v>20</v>
      </c>
      <c r="K613" s="2" t="s">
        <v>20</v>
      </c>
      <c r="L613" s="6">
        <v>51</v>
      </c>
      <c r="M613" s="2">
        <v>0</v>
      </c>
      <c r="N613" s="6" t="s">
        <v>31</v>
      </c>
      <c r="O613" s="2" t="s">
        <v>32</v>
      </c>
      <c r="P613" s="8">
        <v>0</v>
      </c>
    </row>
    <row r="614" spans="1:16" x14ac:dyDescent="0.3">
      <c r="A614" s="16"/>
      <c r="B614" s="1">
        <v>613</v>
      </c>
      <c r="C614" s="1" t="s">
        <v>179</v>
      </c>
      <c r="D614" s="1">
        <v>55601977</v>
      </c>
      <c r="E614" s="1" t="s">
        <v>730</v>
      </c>
      <c r="F614" s="1" t="s">
        <v>727</v>
      </c>
      <c r="G614" s="1" t="s">
        <v>17</v>
      </c>
      <c r="H614" s="1" t="s">
        <v>25</v>
      </c>
      <c r="I614" s="1" t="s">
        <v>184</v>
      </c>
      <c r="J614" s="1" t="s">
        <v>1015</v>
      </c>
      <c r="K614" s="2" t="s">
        <v>1015</v>
      </c>
      <c r="L614" s="6">
        <v>82</v>
      </c>
      <c r="M614" s="2">
        <v>4.7699999999999996</v>
      </c>
      <c r="N614" s="6" t="s">
        <v>21</v>
      </c>
      <c r="O614" s="2" t="s">
        <v>41</v>
      </c>
      <c r="P614" s="8">
        <v>112000</v>
      </c>
    </row>
    <row r="615" spans="1:16" x14ac:dyDescent="0.3">
      <c r="A615" s="16"/>
      <c r="B615" s="1">
        <v>614</v>
      </c>
      <c r="C615" s="1" t="s">
        <v>179</v>
      </c>
      <c r="D615" s="1">
        <v>55514662</v>
      </c>
      <c r="E615" s="1" t="s">
        <v>731</v>
      </c>
      <c r="F615" s="1" t="s">
        <v>313</v>
      </c>
      <c r="G615" s="1" t="s">
        <v>17</v>
      </c>
      <c r="H615" s="1" t="s">
        <v>18</v>
      </c>
      <c r="I615" s="1" t="s">
        <v>30</v>
      </c>
      <c r="J615" s="1" t="s">
        <v>1015</v>
      </c>
      <c r="K615" s="2" t="s">
        <v>1015</v>
      </c>
      <c r="L615" s="6">
        <v>46</v>
      </c>
      <c r="M615" s="2">
        <v>0</v>
      </c>
      <c r="N615" s="6" t="s">
        <v>31</v>
      </c>
      <c r="O615" s="2" t="s">
        <v>32</v>
      </c>
      <c r="P615" s="8">
        <v>0</v>
      </c>
    </row>
    <row r="616" spans="1:16" x14ac:dyDescent="0.3">
      <c r="A616" s="16"/>
      <c r="B616" s="1">
        <v>615</v>
      </c>
      <c r="C616" s="1" t="s">
        <v>179</v>
      </c>
      <c r="D616" s="1">
        <v>55145528</v>
      </c>
      <c r="E616" s="1" t="s">
        <v>732</v>
      </c>
      <c r="F616" s="1" t="s">
        <v>733</v>
      </c>
      <c r="G616" s="1" t="s">
        <v>17</v>
      </c>
      <c r="H616" s="1" t="s">
        <v>18</v>
      </c>
      <c r="I616" s="1" t="s">
        <v>19</v>
      </c>
      <c r="J616" s="1" t="s">
        <v>20</v>
      </c>
      <c r="K616" s="2" t="s">
        <v>20</v>
      </c>
      <c r="L616" s="6">
        <v>74</v>
      </c>
      <c r="M616" s="2">
        <v>4.5999999999999996</v>
      </c>
      <c r="N616" s="6" t="s">
        <v>21</v>
      </c>
      <c r="O616" s="2" t="s">
        <v>27</v>
      </c>
      <c r="P616" s="8">
        <v>249000</v>
      </c>
    </row>
    <row r="617" spans="1:16" x14ac:dyDescent="0.3">
      <c r="A617" s="16"/>
      <c r="B617" s="1">
        <v>616</v>
      </c>
      <c r="C617" s="1" t="s">
        <v>179</v>
      </c>
      <c r="D617" s="1">
        <v>54136586</v>
      </c>
      <c r="E617" s="1" t="s">
        <v>734</v>
      </c>
      <c r="F617" s="1" t="s">
        <v>258</v>
      </c>
      <c r="G617" s="1" t="s">
        <v>17</v>
      </c>
      <c r="H617" s="1" t="s">
        <v>25</v>
      </c>
      <c r="I617" s="1" t="s">
        <v>216</v>
      </c>
      <c r="J617" s="1" t="s">
        <v>20</v>
      </c>
      <c r="K617" s="2" t="s">
        <v>20</v>
      </c>
      <c r="L617" s="6">
        <v>37</v>
      </c>
      <c r="M617" s="2">
        <v>3.19</v>
      </c>
      <c r="N617" s="6" t="s">
        <v>21</v>
      </c>
      <c r="O617" s="2" t="s">
        <v>22</v>
      </c>
      <c r="P617" s="8">
        <v>159000</v>
      </c>
    </row>
    <row r="618" spans="1:16" x14ac:dyDescent="0.3">
      <c r="A618" s="16"/>
      <c r="B618" s="1">
        <v>617</v>
      </c>
      <c r="C618" s="1" t="s">
        <v>179</v>
      </c>
      <c r="D618" s="1">
        <v>55609120</v>
      </c>
      <c r="E618" s="1" t="s">
        <v>735</v>
      </c>
      <c r="F618" s="1" t="s">
        <v>736</v>
      </c>
      <c r="G618" s="1" t="s">
        <v>88</v>
      </c>
      <c r="H618" s="1" t="s">
        <v>18</v>
      </c>
      <c r="I618" s="1" t="s">
        <v>184</v>
      </c>
      <c r="J618" s="1" t="s">
        <v>1015</v>
      </c>
      <c r="K618" s="2" t="s">
        <v>1015</v>
      </c>
      <c r="L618" s="6">
        <v>43</v>
      </c>
      <c r="M618" s="2">
        <v>1.74</v>
      </c>
      <c r="N618" s="6" t="s">
        <v>21</v>
      </c>
      <c r="O618" s="2" t="s">
        <v>195</v>
      </c>
      <c r="P618" s="8">
        <v>44000</v>
      </c>
    </row>
    <row r="619" spans="1:16" x14ac:dyDescent="0.3">
      <c r="A619" s="16"/>
      <c r="B619" s="1">
        <v>618</v>
      </c>
      <c r="C619" s="1" t="s">
        <v>179</v>
      </c>
      <c r="D619" s="1">
        <v>55473915</v>
      </c>
      <c r="E619" s="1" t="s">
        <v>1161</v>
      </c>
      <c r="F619" s="1" t="s">
        <v>737</v>
      </c>
      <c r="G619" s="1" t="s">
        <v>88</v>
      </c>
      <c r="H619" s="1" t="s">
        <v>25</v>
      </c>
      <c r="I619" s="1" t="s">
        <v>26</v>
      </c>
      <c r="J619" s="1" t="s">
        <v>1015</v>
      </c>
      <c r="K619" s="2" t="s">
        <v>1015</v>
      </c>
      <c r="L619" s="6">
        <v>29</v>
      </c>
      <c r="M619" s="2">
        <v>0.79</v>
      </c>
      <c r="N619" s="6" t="s">
        <v>58</v>
      </c>
      <c r="O619" s="2" t="s">
        <v>22</v>
      </c>
      <c r="P619" s="8">
        <v>25000</v>
      </c>
    </row>
    <row r="620" spans="1:16" x14ac:dyDescent="0.3">
      <c r="A620" s="16"/>
      <c r="B620" s="1">
        <v>619</v>
      </c>
      <c r="C620" s="1" t="s">
        <v>179</v>
      </c>
      <c r="D620" s="1">
        <v>55591661</v>
      </c>
      <c r="E620" s="1" t="s">
        <v>738</v>
      </c>
      <c r="F620" s="1" t="s">
        <v>739</v>
      </c>
      <c r="G620" s="1" t="s">
        <v>17</v>
      </c>
      <c r="H620" s="1" t="s">
        <v>25</v>
      </c>
      <c r="I620" s="1" t="s">
        <v>184</v>
      </c>
      <c r="J620" s="1" t="s">
        <v>1015</v>
      </c>
      <c r="K620" s="2" t="s">
        <v>1015</v>
      </c>
      <c r="L620" s="6">
        <v>70</v>
      </c>
      <c r="M620" s="2">
        <v>3.06</v>
      </c>
      <c r="N620" s="6" t="s">
        <v>21</v>
      </c>
      <c r="O620" s="2" t="s">
        <v>27</v>
      </c>
      <c r="P620" s="8">
        <v>114000</v>
      </c>
    </row>
    <row r="621" spans="1:16" x14ac:dyDescent="0.3">
      <c r="A621" s="16"/>
      <c r="B621" s="1">
        <v>620</v>
      </c>
      <c r="C621" s="1" t="s">
        <v>179</v>
      </c>
      <c r="D621" s="1">
        <v>25611589</v>
      </c>
      <c r="E621" s="1" t="s">
        <v>740</v>
      </c>
      <c r="F621" s="1" t="s">
        <v>741</v>
      </c>
      <c r="G621" s="1" t="s">
        <v>17</v>
      </c>
      <c r="H621" s="1" t="s">
        <v>18</v>
      </c>
      <c r="I621" s="1" t="s">
        <v>19</v>
      </c>
      <c r="J621" s="1" t="s">
        <v>20</v>
      </c>
      <c r="K621" s="2" t="s">
        <v>20</v>
      </c>
      <c r="L621" s="6">
        <v>36</v>
      </c>
      <c r="M621" s="2">
        <v>0.4</v>
      </c>
      <c r="N621" s="6" t="s">
        <v>21</v>
      </c>
      <c r="O621" s="2" t="s">
        <v>27</v>
      </c>
      <c r="P621" s="8">
        <v>18000</v>
      </c>
    </row>
    <row r="622" spans="1:16" x14ac:dyDescent="0.3">
      <c r="A622" s="16"/>
      <c r="B622" s="1">
        <v>621</v>
      </c>
      <c r="C622" s="1" t="s">
        <v>179</v>
      </c>
      <c r="D622" s="1">
        <v>55123111</v>
      </c>
      <c r="E622" s="1" t="s">
        <v>742</v>
      </c>
      <c r="F622" s="1" t="s">
        <v>422</v>
      </c>
      <c r="G622" s="1" t="s">
        <v>17</v>
      </c>
      <c r="H622" s="1" t="s">
        <v>18</v>
      </c>
      <c r="I622" s="1" t="s">
        <v>35</v>
      </c>
      <c r="J622" s="1" t="s">
        <v>1015</v>
      </c>
      <c r="K622" s="2" t="s">
        <v>1015</v>
      </c>
      <c r="L622" s="6">
        <v>39</v>
      </c>
      <c r="M622" s="2">
        <v>1.55</v>
      </c>
      <c r="N622" s="6" t="s">
        <v>21</v>
      </c>
      <c r="O622" s="2" t="s">
        <v>59</v>
      </c>
      <c r="P622" s="8">
        <v>36000</v>
      </c>
    </row>
    <row r="623" spans="1:16" x14ac:dyDescent="0.3">
      <c r="A623" s="16"/>
      <c r="B623" s="1">
        <v>622</v>
      </c>
      <c r="C623" s="1" t="s">
        <v>179</v>
      </c>
      <c r="D623" s="1">
        <v>1950688916</v>
      </c>
      <c r="E623" s="1" t="s">
        <v>1068</v>
      </c>
      <c r="F623" s="1" t="s">
        <v>934</v>
      </c>
      <c r="G623" s="1" t="s">
        <v>17</v>
      </c>
      <c r="H623" s="1" t="s">
        <v>18</v>
      </c>
      <c r="I623" s="1" t="s">
        <v>30</v>
      </c>
      <c r="J623" s="1" t="s">
        <v>20</v>
      </c>
      <c r="K623" s="2" t="s">
        <v>20</v>
      </c>
      <c r="L623" s="6">
        <v>77</v>
      </c>
      <c r="M623" s="2">
        <v>0</v>
      </c>
      <c r="N623" s="6" t="s">
        <v>31</v>
      </c>
      <c r="O623" s="2" t="s">
        <v>32</v>
      </c>
      <c r="P623" s="8">
        <v>0</v>
      </c>
    </row>
    <row r="624" spans="1:16" x14ac:dyDescent="0.3">
      <c r="A624" s="16"/>
      <c r="B624" s="1">
        <v>623</v>
      </c>
      <c r="C624" s="1" t="s">
        <v>179</v>
      </c>
      <c r="D624" s="1">
        <v>55107201</v>
      </c>
      <c r="E624" s="1" t="s">
        <v>743</v>
      </c>
      <c r="F624" s="1" t="s">
        <v>744</v>
      </c>
      <c r="G624" s="1" t="s">
        <v>17</v>
      </c>
      <c r="H624" s="1" t="s">
        <v>18</v>
      </c>
      <c r="I624" s="1" t="s">
        <v>19</v>
      </c>
      <c r="J624" s="1" t="s">
        <v>20</v>
      </c>
      <c r="K624" s="2" t="s">
        <v>20</v>
      </c>
      <c r="L624" s="6">
        <v>39</v>
      </c>
      <c r="M624" s="2">
        <v>3.82</v>
      </c>
      <c r="N624" s="6" t="s">
        <v>21</v>
      </c>
      <c r="O624" s="2" t="s">
        <v>41</v>
      </c>
      <c r="P624" s="8">
        <v>74000</v>
      </c>
    </row>
    <row r="625" spans="1:16" x14ac:dyDescent="0.3">
      <c r="A625" s="16"/>
      <c r="B625" s="1">
        <v>624</v>
      </c>
      <c r="C625" s="1" t="s">
        <v>179</v>
      </c>
      <c r="D625" s="1">
        <v>55573916</v>
      </c>
      <c r="E625" s="1" t="s">
        <v>745</v>
      </c>
      <c r="F625" s="1" t="s">
        <v>746</v>
      </c>
      <c r="G625" s="1" t="s">
        <v>17</v>
      </c>
      <c r="H625" s="1" t="s">
        <v>18</v>
      </c>
      <c r="I625" s="1" t="s">
        <v>19</v>
      </c>
      <c r="J625" s="1" t="s">
        <v>1015</v>
      </c>
      <c r="K625" s="2" t="s">
        <v>1015</v>
      </c>
      <c r="L625" s="6">
        <v>70</v>
      </c>
      <c r="M625" s="2">
        <v>0.27</v>
      </c>
      <c r="N625" s="6" t="s">
        <v>21</v>
      </c>
      <c r="O625" s="2" t="s">
        <v>22</v>
      </c>
      <c r="P625" s="8">
        <v>9000</v>
      </c>
    </row>
    <row r="626" spans="1:16" x14ac:dyDescent="0.3">
      <c r="A626" s="16"/>
      <c r="B626" s="1">
        <v>625</v>
      </c>
      <c r="C626" s="1" t="s">
        <v>179</v>
      </c>
      <c r="D626" s="1">
        <v>54646726</v>
      </c>
      <c r="E626" s="1" t="s">
        <v>747</v>
      </c>
      <c r="F626" s="1" t="s">
        <v>748</v>
      </c>
      <c r="G626" s="1" t="s">
        <v>17</v>
      </c>
      <c r="H626" s="1" t="s">
        <v>25</v>
      </c>
      <c r="I626" s="1" t="s">
        <v>26</v>
      </c>
      <c r="J626" s="1" t="s">
        <v>1015</v>
      </c>
      <c r="K626" s="2" t="s">
        <v>1015</v>
      </c>
      <c r="L626" s="6">
        <v>32</v>
      </c>
      <c r="M626" s="2">
        <v>6.42</v>
      </c>
      <c r="N626" s="6" t="s">
        <v>21</v>
      </c>
      <c r="O626" s="2" t="s">
        <v>22</v>
      </c>
      <c r="P626" s="8">
        <v>280000</v>
      </c>
    </row>
    <row r="627" spans="1:16" x14ac:dyDescent="0.3">
      <c r="A627" s="16"/>
      <c r="B627" s="1">
        <v>626</v>
      </c>
      <c r="C627" s="1" t="s">
        <v>179</v>
      </c>
      <c r="D627" s="1">
        <v>811302343</v>
      </c>
      <c r="E627" s="1" t="s">
        <v>1162</v>
      </c>
      <c r="F627" s="1" t="s">
        <v>1287</v>
      </c>
      <c r="G627" s="1" t="s">
        <v>88</v>
      </c>
      <c r="H627" s="1" t="s">
        <v>25</v>
      </c>
      <c r="I627" s="1" t="s">
        <v>216</v>
      </c>
      <c r="J627" s="1" t="s">
        <v>20</v>
      </c>
      <c r="K627" s="2" t="s">
        <v>20</v>
      </c>
      <c r="L627" s="6">
        <v>41</v>
      </c>
      <c r="M627" s="2">
        <v>3.48</v>
      </c>
      <c r="N627" s="6" t="s">
        <v>58</v>
      </c>
      <c r="O627" s="2" t="s">
        <v>22</v>
      </c>
      <c r="P627" s="8">
        <v>173000</v>
      </c>
    </row>
    <row r="628" spans="1:16" x14ac:dyDescent="0.3">
      <c r="A628" s="16"/>
      <c r="B628" s="1">
        <v>627</v>
      </c>
      <c r="C628" s="1" t="s">
        <v>179</v>
      </c>
      <c r="D628" s="1">
        <v>1950673085</v>
      </c>
      <c r="E628" s="1" t="s">
        <v>1070</v>
      </c>
      <c r="F628" s="1" t="s">
        <v>1241</v>
      </c>
      <c r="G628" s="1" t="s">
        <v>88</v>
      </c>
      <c r="H628" s="1" t="s">
        <v>18</v>
      </c>
      <c r="I628" s="1" t="s">
        <v>120</v>
      </c>
      <c r="J628" s="1" t="s">
        <v>20</v>
      </c>
      <c r="K628" s="2" t="s">
        <v>1015</v>
      </c>
      <c r="L628" s="6">
        <v>58</v>
      </c>
      <c r="M628" s="2">
        <v>0.7</v>
      </c>
      <c r="N628" s="6" t="s">
        <v>36</v>
      </c>
      <c r="O628" s="2" t="s">
        <v>22</v>
      </c>
      <c r="P628" s="8">
        <v>40000</v>
      </c>
    </row>
    <row r="629" spans="1:16" x14ac:dyDescent="0.3">
      <c r="A629" s="16"/>
      <c r="B629" s="1">
        <v>628</v>
      </c>
      <c r="C629" s="1" t="s">
        <v>179</v>
      </c>
      <c r="D629" s="1">
        <v>25080821</v>
      </c>
      <c r="E629" s="1" t="s">
        <v>749</v>
      </c>
      <c r="F629" s="1" t="s">
        <v>750</v>
      </c>
      <c r="G629" s="1" t="s">
        <v>17</v>
      </c>
      <c r="H629" s="1" t="s">
        <v>18</v>
      </c>
      <c r="I629" s="1" t="s">
        <v>19</v>
      </c>
      <c r="J629" s="1" t="s">
        <v>20</v>
      </c>
      <c r="K629" s="2" t="s">
        <v>20</v>
      </c>
      <c r="L629" s="6">
        <v>84</v>
      </c>
      <c r="M629" s="2">
        <v>2.68</v>
      </c>
      <c r="N629" s="6" t="s">
        <v>36</v>
      </c>
      <c r="O629" s="2" t="s">
        <v>27</v>
      </c>
      <c r="P629" s="8">
        <v>66000</v>
      </c>
    </row>
    <row r="630" spans="1:16" x14ac:dyDescent="0.3">
      <c r="A630" s="16"/>
      <c r="B630" s="1">
        <v>629</v>
      </c>
      <c r="C630" s="1" t="s">
        <v>179</v>
      </c>
      <c r="D630" s="1">
        <v>55123455</v>
      </c>
      <c r="E630" s="1" t="s">
        <v>751</v>
      </c>
      <c r="F630" s="1" t="s">
        <v>752</v>
      </c>
      <c r="G630" s="1" t="s">
        <v>17</v>
      </c>
      <c r="H630" s="1" t="s">
        <v>18</v>
      </c>
      <c r="I630" s="1" t="s">
        <v>30</v>
      </c>
      <c r="J630" s="1" t="s">
        <v>20</v>
      </c>
      <c r="K630" s="2" t="s">
        <v>20</v>
      </c>
      <c r="L630" s="6">
        <v>28</v>
      </c>
      <c r="M630" s="2">
        <v>0</v>
      </c>
      <c r="N630" s="6" t="s">
        <v>31</v>
      </c>
      <c r="O630" s="2" t="s">
        <v>32</v>
      </c>
      <c r="P630" s="8">
        <v>0</v>
      </c>
    </row>
    <row r="631" spans="1:16" x14ac:dyDescent="0.3">
      <c r="A631" s="16"/>
      <c r="B631" s="1">
        <v>630</v>
      </c>
      <c r="C631" s="1" t="s">
        <v>179</v>
      </c>
      <c r="D631" s="1">
        <v>1950673305</v>
      </c>
      <c r="E631" s="1" t="s">
        <v>1071</v>
      </c>
      <c r="F631" s="1" t="s">
        <v>1242</v>
      </c>
      <c r="G631" s="1" t="s">
        <v>17</v>
      </c>
      <c r="H631" s="1" t="s">
        <v>25</v>
      </c>
      <c r="I631" s="1" t="s">
        <v>216</v>
      </c>
      <c r="J631" s="1" t="s">
        <v>20</v>
      </c>
      <c r="K631" s="2" t="s">
        <v>20</v>
      </c>
      <c r="L631" s="6">
        <v>76</v>
      </c>
      <c r="M631" s="2">
        <v>7.54</v>
      </c>
      <c r="N631" s="6" t="s">
        <v>21</v>
      </c>
      <c r="O631" s="2" t="s">
        <v>55</v>
      </c>
      <c r="P631" s="8">
        <v>325000</v>
      </c>
    </row>
    <row r="632" spans="1:16" x14ac:dyDescent="0.3">
      <c r="A632" s="16"/>
      <c r="B632" s="1">
        <v>631</v>
      </c>
      <c r="C632" s="1" t="s">
        <v>179</v>
      </c>
      <c r="D632" s="1">
        <v>811302742</v>
      </c>
      <c r="E632" s="1" t="s">
        <v>753</v>
      </c>
      <c r="F632" s="1" t="s">
        <v>754</v>
      </c>
      <c r="G632" s="1" t="s">
        <v>17</v>
      </c>
      <c r="H632" s="1" t="s">
        <v>18</v>
      </c>
      <c r="I632" s="1" t="s">
        <v>19</v>
      </c>
      <c r="J632" s="1" t="s">
        <v>20</v>
      </c>
      <c r="K632" s="2" t="s">
        <v>20</v>
      </c>
      <c r="L632" s="6">
        <v>44</v>
      </c>
      <c r="M632" s="2">
        <v>3.88</v>
      </c>
      <c r="N632" s="6" t="s">
        <v>21</v>
      </c>
      <c r="O632" s="2" t="s">
        <v>22</v>
      </c>
      <c r="P632" s="8">
        <v>203000</v>
      </c>
    </row>
    <row r="633" spans="1:16" x14ac:dyDescent="0.3">
      <c r="A633" s="16"/>
      <c r="B633" s="1">
        <v>632</v>
      </c>
      <c r="C633" s="1" t="s">
        <v>179</v>
      </c>
      <c r="D633" s="1">
        <v>55147008</v>
      </c>
      <c r="E633" s="1" t="s">
        <v>755</v>
      </c>
      <c r="F633" s="1" t="s">
        <v>756</v>
      </c>
      <c r="G633" s="1" t="s">
        <v>88</v>
      </c>
      <c r="H633" s="1" t="s">
        <v>25</v>
      </c>
      <c r="I633" s="1" t="s">
        <v>184</v>
      </c>
      <c r="J633" s="1" t="s">
        <v>20</v>
      </c>
      <c r="K633" s="2" t="s">
        <v>20</v>
      </c>
      <c r="L633" s="6">
        <v>83</v>
      </c>
      <c r="M633" s="2">
        <v>3.81</v>
      </c>
      <c r="N633" s="6" t="s">
        <v>21</v>
      </c>
      <c r="O633" s="2" t="s">
        <v>22</v>
      </c>
      <c r="P633" s="8">
        <v>166000</v>
      </c>
    </row>
    <row r="634" spans="1:16" x14ac:dyDescent="0.3">
      <c r="A634" s="16"/>
      <c r="B634" s="1">
        <v>633</v>
      </c>
      <c r="C634" s="1" t="s">
        <v>179</v>
      </c>
      <c r="D634" s="1">
        <v>55529301</v>
      </c>
      <c r="E634" s="1" t="s">
        <v>1163</v>
      </c>
      <c r="F634" s="1" t="s">
        <v>757</v>
      </c>
      <c r="G634" s="1" t="s">
        <v>17</v>
      </c>
      <c r="H634" s="1" t="s">
        <v>18</v>
      </c>
      <c r="I634" s="1" t="s">
        <v>120</v>
      </c>
      <c r="J634" s="1" t="s">
        <v>20</v>
      </c>
      <c r="K634" s="2" t="s">
        <v>20</v>
      </c>
      <c r="L634" s="6">
        <v>67</v>
      </c>
      <c r="M634" s="2">
        <v>3.3</v>
      </c>
      <c r="N634" s="6" t="s">
        <v>21</v>
      </c>
      <c r="O634" s="2" t="s">
        <v>195</v>
      </c>
      <c r="P634" s="8">
        <v>117000</v>
      </c>
    </row>
    <row r="635" spans="1:16" x14ac:dyDescent="0.3">
      <c r="A635" s="16"/>
      <c r="B635" s="1">
        <v>634</v>
      </c>
      <c r="C635" s="1" t="s">
        <v>179</v>
      </c>
      <c r="D635" s="1">
        <v>55505276</v>
      </c>
      <c r="E635" s="1" t="s">
        <v>1164</v>
      </c>
      <c r="F635" s="1" t="s">
        <v>758</v>
      </c>
      <c r="G635" s="1" t="s">
        <v>88</v>
      </c>
      <c r="H635" s="1" t="s">
        <v>25</v>
      </c>
      <c r="I635" s="1" t="s">
        <v>26</v>
      </c>
      <c r="J635" s="1" t="s">
        <v>20</v>
      </c>
      <c r="K635" s="2" t="s">
        <v>20</v>
      </c>
      <c r="L635" s="6">
        <v>45</v>
      </c>
      <c r="M635" s="2">
        <v>2.67</v>
      </c>
      <c r="N635" s="6" t="s">
        <v>21</v>
      </c>
      <c r="O635" s="2" t="s">
        <v>195</v>
      </c>
      <c r="P635" s="8">
        <v>113000</v>
      </c>
    </row>
    <row r="636" spans="1:16" x14ac:dyDescent="0.3">
      <c r="A636" s="16"/>
      <c r="B636" s="1">
        <v>635</v>
      </c>
      <c r="C636" s="1" t="s">
        <v>179</v>
      </c>
      <c r="D636" s="1">
        <v>55162185</v>
      </c>
      <c r="E636" s="1" t="s">
        <v>759</v>
      </c>
      <c r="F636" s="1" t="s">
        <v>406</v>
      </c>
      <c r="G636" s="1" t="s">
        <v>88</v>
      </c>
      <c r="H636" s="1" t="s">
        <v>18</v>
      </c>
      <c r="I636" s="1" t="s">
        <v>120</v>
      </c>
      <c r="J636" s="1" t="s">
        <v>1015</v>
      </c>
      <c r="K636" s="2" t="s">
        <v>1015</v>
      </c>
      <c r="L636" s="6">
        <v>53</v>
      </c>
      <c r="M636" s="2">
        <v>1.79</v>
      </c>
      <c r="N636" s="6" t="s">
        <v>21</v>
      </c>
      <c r="O636" s="2" t="s">
        <v>22</v>
      </c>
      <c r="P636" s="8">
        <v>96000</v>
      </c>
    </row>
    <row r="637" spans="1:16" x14ac:dyDescent="0.3">
      <c r="A637" s="16"/>
      <c r="B637" s="1">
        <v>636</v>
      </c>
      <c r="C637" s="1" t="s">
        <v>179</v>
      </c>
      <c r="D637" s="1">
        <v>55133065</v>
      </c>
      <c r="E637" s="1" t="s">
        <v>1165</v>
      </c>
      <c r="F637" s="1" t="s">
        <v>760</v>
      </c>
      <c r="G637" s="1" t="s">
        <v>88</v>
      </c>
      <c r="H637" s="1" t="s">
        <v>18</v>
      </c>
      <c r="I637" s="1" t="s">
        <v>120</v>
      </c>
      <c r="J637" s="1" t="s">
        <v>20</v>
      </c>
      <c r="K637" s="2" t="s">
        <v>20</v>
      </c>
      <c r="L637" s="6">
        <v>47</v>
      </c>
      <c r="M637" s="2">
        <v>0.31</v>
      </c>
      <c r="N637" s="6" t="s">
        <v>21</v>
      </c>
      <c r="O637" s="2" t="s">
        <v>22</v>
      </c>
      <c r="P637" s="8">
        <v>9000</v>
      </c>
    </row>
    <row r="638" spans="1:16" x14ac:dyDescent="0.3">
      <c r="A638" s="16"/>
      <c r="B638" s="1">
        <v>637</v>
      </c>
      <c r="C638" s="1" t="s">
        <v>179</v>
      </c>
      <c r="D638" s="1">
        <v>55479209</v>
      </c>
      <c r="E638" s="1" t="s">
        <v>761</v>
      </c>
      <c r="F638" s="1" t="s">
        <v>762</v>
      </c>
      <c r="G638" s="1" t="s">
        <v>17</v>
      </c>
      <c r="H638" s="1" t="s">
        <v>18</v>
      </c>
      <c r="I638" s="1" t="s">
        <v>120</v>
      </c>
      <c r="J638" s="1" t="s">
        <v>20</v>
      </c>
      <c r="K638" s="2" t="s">
        <v>20</v>
      </c>
      <c r="L638" s="6">
        <v>72</v>
      </c>
      <c r="M638" s="2">
        <v>0.34</v>
      </c>
      <c r="N638" s="6" t="s">
        <v>21</v>
      </c>
      <c r="O638" s="2" t="s">
        <v>41</v>
      </c>
      <c r="P638" s="8">
        <v>8000</v>
      </c>
    </row>
    <row r="639" spans="1:16" x14ac:dyDescent="0.3">
      <c r="A639" s="16"/>
      <c r="B639" s="1">
        <v>638</v>
      </c>
      <c r="C639" s="1" t="s">
        <v>179</v>
      </c>
      <c r="D639" s="1">
        <v>22255126</v>
      </c>
      <c r="E639" s="1" t="s">
        <v>1166</v>
      </c>
      <c r="F639" s="1" t="s">
        <v>1288</v>
      </c>
      <c r="G639" s="1" t="s">
        <v>17</v>
      </c>
      <c r="H639" s="1" t="s">
        <v>18</v>
      </c>
      <c r="I639" s="1" t="s">
        <v>30</v>
      </c>
      <c r="J639" s="1" t="s">
        <v>20</v>
      </c>
      <c r="K639" s="2" t="s">
        <v>20</v>
      </c>
      <c r="L639" s="6">
        <v>29</v>
      </c>
      <c r="M639" s="2">
        <v>0</v>
      </c>
      <c r="N639" s="6" t="s">
        <v>31</v>
      </c>
      <c r="O639" s="2" t="s">
        <v>32</v>
      </c>
      <c r="P639" s="8">
        <v>0</v>
      </c>
    </row>
    <row r="640" spans="1:16" x14ac:dyDescent="0.3">
      <c r="A640" s="16"/>
      <c r="B640" s="1">
        <v>639</v>
      </c>
      <c r="C640" s="1" t="s">
        <v>179</v>
      </c>
      <c r="D640" s="1">
        <v>55608484</v>
      </c>
      <c r="E640" s="1" t="s">
        <v>763</v>
      </c>
      <c r="F640" s="1" t="s">
        <v>764</v>
      </c>
      <c r="G640" s="1" t="s">
        <v>17</v>
      </c>
      <c r="H640" s="1" t="s">
        <v>25</v>
      </c>
      <c r="I640" s="1" t="s">
        <v>26</v>
      </c>
      <c r="J640" s="1" t="s">
        <v>20</v>
      </c>
      <c r="K640" s="2" t="s">
        <v>20</v>
      </c>
      <c r="L640" s="6">
        <v>75</v>
      </c>
      <c r="M640" s="2">
        <v>1.53</v>
      </c>
      <c r="N640" s="6" t="s">
        <v>21</v>
      </c>
      <c r="O640" s="2" t="s">
        <v>55</v>
      </c>
      <c r="P640" s="8">
        <v>62000</v>
      </c>
    </row>
    <row r="641" spans="1:16" x14ac:dyDescent="0.3">
      <c r="A641" s="16"/>
      <c r="B641" s="1">
        <v>640</v>
      </c>
      <c r="C641" s="1" t="s">
        <v>179</v>
      </c>
      <c r="D641" s="1">
        <v>55558850</v>
      </c>
      <c r="E641" s="1" t="s">
        <v>1167</v>
      </c>
      <c r="F641" s="1" t="s">
        <v>765</v>
      </c>
      <c r="G641" s="1" t="s">
        <v>88</v>
      </c>
      <c r="H641" s="1" t="s">
        <v>25</v>
      </c>
      <c r="I641" s="1" t="s">
        <v>184</v>
      </c>
      <c r="J641" s="1" t="s">
        <v>20</v>
      </c>
      <c r="K641" s="2" t="s">
        <v>20</v>
      </c>
      <c r="L641" s="6">
        <v>81</v>
      </c>
      <c r="M641" s="2">
        <v>1.57</v>
      </c>
      <c r="N641" s="6" t="s">
        <v>21</v>
      </c>
      <c r="O641" s="2" t="s">
        <v>74</v>
      </c>
      <c r="P641" s="8">
        <v>137000</v>
      </c>
    </row>
    <row r="642" spans="1:16" ht="24" x14ac:dyDescent="0.3">
      <c r="A642" s="16"/>
      <c r="B642" s="1">
        <v>641</v>
      </c>
      <c r="C642" s="1" t="s">
        <v>179</v>
      </c>
      <c r="D642" s="1">
        <v>55610236</v>
      </c>
      <c r="E642" s="1" t="s">
        <v>1168</v>
      </c>
      <c r="F642" s="1" t="s">
        <v>766</v>
      </c>
      <c r="G642" s="1" t="s">
        <v>88</v>
      </c>
      <c r="H642" s="1" t="s">
        <v>18</v>
      </c>
      <c r="I642" s="1" t="s">
        <v>120</v>
      </c>
      <c r="J642" s="1" t="s">
        <v>1015</v>
      </c>
      <c r="K642" s="2" t="s">
        <v>1015</v>
      </c>
      <c r="L642" s="6">
        <v>42</v>
      </c>
      <c r="M642" s="2">
        <v>1.67</v>
      </c>
      <c r="N642" s="6" t="s">
        <v>21</v>
      </c>
      <c r="O642" s="2" t="s">
        <v>22</v>
      </c>
      <c r="P642" s="8">
        <v>80000</v>
      </c>
    </row>
    <row r="643" spans="1:16" x14ac:dyDescent="0.3">
      <c r="A643" s="16"/>
      <c r="B643" s="1">
        <v>642</v>
      </c>
      <c r="C643" s="1" t="s">
        <v>179</v>
      </c>
      <c r="D643" s="1">
        <v>54107439</v>
      </c>
      <c r="E643" s="1" t="s">
        <v>767</v>
      </c>
      <c r="F643" s="1" t="s">
        <v>768</v>
      </c>
      <c r="G643" s="1" t="s">
        <v>17</v>
      </c>
      <c r="H643" s="1" t="s">
        <v>18</v>
      </c>
      <c r="I643" s="1" t="s">
        <v>19</v>
      </c>
      <c r="J643" s="1" t="s">
        <v>20</v>
      </c>
      <c r="K643" s="2" t="s">
        <v>20</v>
      </c>
      <c r="L643" s="6">
        <v>42</v>
      </c>
      <c r="M643" s="2">
        <v>2.0699999999999998</v>
      </c>
      <c r="N643" s="6" t="s">
        <v>58</v>
      </c>
      <c r="O643" s="2" t="s">
        <v>27</v>
      </c>
      <c r="P643" s="8">
        <v>89000</v>
      </c>
    </row>
    <row r="644" spans="1:16" x14ac:dyDescent="0.3">
      <c r="A644" s="16"/>
      <c r="B644" s="1">
        <v>643</v>
      </c>
      <c r="C644" s="1" t="s">
        <v>179</v>
      </c>
      <c r="D644" s="1">
        <v>55606861</v>
      </c>
      <c r="E644" s="1" t="s">
        <v>769</v>
      </c>
      <c r="F644" s="1" t="s">
        <v>770</v>
      </c>
      <c r="G644" s="1" t="s">
        <v>88</v>
      </c>
      <c r="H644" s="1" t="s">
        <v>25</v>
      </c>
      <c r="I644" s="1" t="s">
        <v>184</v>
      </c>
      <c r="J644" s="1" t="s">
        <v>1015</v>
      </c>
      <c r="K644" s="2" t="s">
        <v>1015</v>
      </c>
      <c r="L644" s="6">
        <v>35</v>
      </c>
      <c r="M644" s="2">
        <v>2.8</v>
      </c>
      <c r="N644" s="6" t="s">
        <v>36</v>
      </c>
      <c r="O644" s="2" t="s">
        <v>22</v>
      </c>
      <c r="P644" s="8">
        <v>123000</v>
      </c>
    </row>
    <row r="645" spans="1:16" x14ac:dyDescent="0.3">
      <c r="A645" s="16"/>
      <c r="B645" s="1">
        <v>644</v>
      </c>
      <c r="C645" s="1" t="s">
        <v>179</v>
      </c>
      <c r="D645" s="1">
        <v>55115837</v>
      </c>
      <c r="E645" s="1" t="s">
        <v>771</v>
      </c>
      <c r="F645" s="1" t="s">
        <v>772</v>
      </c>
      <c r="G645" s="1" t="s">
        <v>17</v>
      </c>
      <c r="H645" s="1" t="s">
        <v>18</v>
      </c>
      <c r="I645" s="1" t="s">
        <v>19</v>
      </c>
      <c r="J645" s="1" t="s">
        <v>20</v>
      </c>
      <c r="K645" s="2" t="s">
        <v>20</v>
      </c>
      <c r="L645" s="6">
        <v>54</v>
      </c>
      <c r="M645" s="2">
        <v>3.95</v>
      </c>
      <c r="N645" s="6" t="s">
        <v>21</v>
      </c>
      <c r="O645" s="2" t="s">
        <v>41</v>
      </c>
      <c r="P645" s="8">
        <v>142000</v>
      </c>
    </row>
    <row r="646" spans="1:16" x14ac:dyDescent="0.3">
      <c r="A646" s="16"/>
      <c r="B646" s="1">
        <v>645</v>
      </c>
      <c r="C646" s="1" t="s">
        <v>179</v>
      </c>
      <c r="D646" s="1">
        <v>811301481</v>
      </c>
      <c r="E646" s="1" t="s">
        <v>1169</v>
      </c>
      <c r="F646" s="1" t="s">
        <v>1219</v>
      </c>
      <c r="G646" s="1" t="s">
        <v>17</v>
      </c>
      <c r="H646" s="1" t="s">
        <v>25</v>
      </c>
      <c r="I646" s="1" t="s">
        <v>216</v>
      </c>
      <c r="J646" s="1" t="s">
        <v>20</v>
      </c>
      <c r="K646" s="2" t="s">
        <v>20</v>
      </c>
      <c r="L646" s="6">
        <v>82</v>
      </c>
      <c r="M646" s="2">
        <v>0.28999999999999998</v>
      </c>
      <c r="N646" s="6" t="s">
        <v>21</v>
      </c>
      <c r="O646" s="2" t="s">
        <v>27</v>
      </c>
      <c r="P646" s="8">
        <v>15000</v>
      </c>
    </row>
    <row r="647" spans="1:16" x14ac:dyDescent="0.3">
      <c r="A647" s="16"/>
      <c r="B647" s="1">
        <v>646</v>
      </c>
      <c r="C647" s="1" t="s">
        <v>179</v>
      </c>
      <c r="D647" s="1">
        <v>55169072</v>
      </c>
      <c r="E647" s="1" t="s">
        <v>773</v>
      </c>
      <c r="F647" s="1" t="s">
        <v>220</v>
      </c>
      <c r="G647" s="1" t="s">
        <v>17</v>
      </c>
      <c r="H647" s="1" t="s">
        <v>25</v>
      </c>
      <c r="I647" s="1" t="s">
        <v>184</v>
      </c>
      <c r="J647" s="1" t="s">
        <v>1015</v>
      </c>
      <c r="K647" s="2" t="s">
        <v>1015</v>
      </c>
      <c r="L647" s="6">
        <v>64</v>
      </c>
      <c r="M647" s="2">
        <v>1.19</v>
      </c>
      <c r="N647" s="6" t="s">
        <v>21</v>
      </c>
      <c r="O647" s="2" t="s">
        <v>59</v>
      </c>
      <c r="P647" s="8">
        <v>56000</v>
      </c>
    </row>
    <row r="648" spans="1:16" x14ac:dyDescent="0.3">
      <c r="A648" s="16"/>
      <c r="B648" s="1">
        <v>647</v>
      </c>
      <c r="C648" s="1" t="s">
        <v>179</v>
      </c>
      <c r="D648" s="1">
        <v>55586997</v>
      </c>
      <c r="E648" s="1" t="s">
        <v>774</v>
      </c>
      <c r="F648" s="1" t="s">
        <v>775</v>
      </c>
      <c r="G648" s="1" t="s">
        <v>88</v>
      </c>
      <c r="H648" s="1" t="s">
        <v>18</v>
      </c>
      <c r="I648" s="1" t="s">
        <v>120</v>
      </c>
      <c r="J648" s="1" t="s">
        <v>1015</v>
      </c>
      <c r="K648" s="2" t="s">
        <v>1015</v>
      </c>
      <c r="L648" s="6">
        <v>46</v>
      </c>
      <c r="M648" s="2">
        <v>0.13</v>
      </c>
      <c r="N648" s="6" t="s">
        <v>36</v>
      </c>
      <c r="O648" s="2" t="s">
        <v>22</v>
      </c>
      <c r="P648" s="8">
        <v>8000</v>
      </c>
    </row>
    <row r="649" spans="1:16" x14ac:dyDescent="0.3">
      <c r="A649" s="16"/>
      <c r="B649" s="1">
        <v>648</v>
      </c>
      <c r="C649" s="1" t="s">
        <v>179</v>
      </c>
      <c r="D649" s="1">
        <v>55942613</v>
      </c>
      <c r="E649" s="1" t="s">
        <v>776</v>
      </c>
      <c r="F649" s="1" t="s">
        <v>441</v>
      </c>
      <c r="G649" s="1" t="s">
        <v>17</v>
      </c>
      <c r="H649" s="1" t="s">
        <v>25</v>
      </c>
      <c r="I649" s="1" t="s">
        <v>216</v>
      </c>
      <c r="J649" s="1" t="s">
        <v>1015</v>
      </c>
      <c r="K649" s="2" t="s">
        <v>1015</v>
      </c>
      <c r="L649" s="6">
        <v>37</v>
      </c>
      <c r="M649" s="2">
        <v>1.88</v>
      </c>
      <c r="N649" s="6" t="s">
        <v>21</v>
      </c>
      <c r="O649" s="2" t="s">
        <v>41</v>
      </c>
      <c r="P649" s="8">
        <v>34000</v>
      </c>
    </row>
    <row r="650" spans="1:16" x14ac:dyDescent="0.3">
      <c r="A650" s="16"/>
      <c r="B650" s="1">
        <v>649</v>
      </c>
      <c r="C650" s="1" t="s">
        <v>179</v>
      </c>
      <c r="D650" s="1">
        <v>55120072</v>
      </c>
      <c r="E650" s="1" t="s">
        <v>777</v>
      </c>
      <c r="F650" s="1" t="s">
        <v>256</v>
      </c>
      <c r="G650" s="1" t="s">
        <v>17</v>
      </c>
      <c r="H650" s="1" t="s">
        <v>18</v>
      </c>
      <c r="I650" s="1" t="s">
        <v>30</v>
      </c>
      <c r="J650" s="1" t="s">
        <v>20</v>
      </c>
      <c r="K650" s="2" t="s">
        <v>20</v>
      </c>
      <c r="L650" s="6">
        <v>72</v>
      </c>
      <c r="M650" s="2">
        <v>0</v>
      </c>
      <c r="N650" s="6" t="s">
        <v>31</v>
      </c>
      <c r="O650" s="2" t="s">
        <v>32</v>
      </c>
      <c r="P650" s="8">
        <v>0</v>
      </c>
    </row>
    <row r="651" spans="1:16" x14ac:dyDescent="0.3">
      <c r="A651" s="16"/>
      <c r="B651" s="1">
        <v>650</v>
      </c>
      <c r="C651" s="1" t="s">
        <v>179</v>
      </c>
      <c r="D651" s="1">
        <v>55125421</v>
      </c>
      <c r="E651" s="1" t="s">
        <v>1170</v>
      </c>
      <c r="F651" s="1" t="s">
        <v>649</v>
      </c>
      <c r="G651" s="1" t="s">
        <v>17</v>
      </c>
      <c r="H651" s="1" t="s">
        <v>18</v>
      </c>
      <c r="I651" s="1" t="s">
        <v>30</v>
      </c>
      <c r="J651" s="1" t="s">
        <v>20</v>
      </c>
      <c r="K651" s="2" t="s">
        <v>20</v>
      </c>
      <c r="L651" s="6">
        <v>33</v>
      </c>
      <c r="M651" s="2">
        <v>0</v>
      </c>
      <c r="N651" s="6" t="s">
        <v>31</v>
      </c>
      <c r="O651" s="2" t="s">
        <v>32</v>
      </c>
      <c r="P651" s="8">
        <v>0</v>
      </c>
    </row>
    <row r="652" spans="1:16" x14ac:dyDescent="0.3">
      <c r="A652" s="16"/>
      <c r="B652" s="1">
        <v>651</v>
      </c>
      <c r="C652" s="1" t="s">
        <v>179</v>
      </c>
      <c r="D652" s="1">
        <v>811301488</v>
      </c>
      <c r="E652" s="1" t="s">
        <v>1171</v>
      </c>
      <c r="F652" s="1" t="s">
        <v>594</v>
      </c>
      <c r="G652" s="1" t="s">
        <v>17</v>
      </c>
      <c r="H652" s="1" t="s">
        <v>25</v>
      </c>
      <c r="I652" s="1" t="s">
        <v>216</v>
      </c>
      <c r="J652" s="1" t="s">
        <v>20</v>
      </c>
      <c r="K652" s="2" t="s">
        <v>20</v>
      </c>
      <c r="L652" s="6">
        <v>77</v>
      </c>
      <c r="M652" s="2">
        <v>1.39</v>
      </c>
      <c r="N652" s="6" t="s">
        <v>58</v>
      </c>
      <c r="O652" s="2" t="s">
        <v>41</v>
      </c>
      <c r="P652" s="8">
        <v>67000</v>
      </c>
    </row>
    <row r="653" spans="1:16" x14ac:dyDescent="0.3">
      <c r="A653" s="16"/>
      <c r="B653" s="1">
        <v>652</v>
      </c>
      <c r="C653" s="1" t="s">
        <v>179</v>
      </c>
      <c r="D653" s="1">
        <v>811346063</v>
      </c>
      <c r="E653" s="1" t="s">
        <v>778</v>
      </c>
      <c r="F653" s="1" t="s">
        <v>779</v>
      </c>
      <c r="G653" s="1" t="s">
        <v>17</v>
      </c>
      <c r="H653" s="1" t="s">
        <v>18</v>
      </c>
      <c r="I653" s="1" t="s">
        <v>19</v>
      </c>
      <c r="J653" s="1" t="s">
        <v>20</v>
      </c>
      <c r="K653" s="2" t="s">
        <v>20</v>
      </c>
      <c r="L653" s="6">
        <v>38</v>
      </c>
      <c r="M653" s="2">
        <v>4.3600000000000003</v>
      </c>
      <c r="N653" s="6" t="s">
        <v>21</v>
      </c>
      <c r="O653" s="2" t="s">
        <v>22</v>
      </c>
      <c r="P653" s="8">
        <v>171000</v>
      </c>
    </row>
    <row r="654" spans="1:16" x14ac:dyDescent="0.3">
      <c r="A654" s="16"/>
      <c r="B654" s="1">
        <v>653</v>
      </c>
      <c r="C654" s="1" t="s">
        <v>179</v>
      </c>
      <c r="D654" s="1">
        <v>55511411</v>
      </c>
      <c r="E654" s="1" t="s">
        <v>780</v>
      </c>
      <c r="F654" s="1" t="s">
        <v>250</v>
      </c>
      <c r="G654" s="1" t="s">
        <v>17</v>
      </c>
      <c r="H654" s="1" t="s">
        <v>18</v>
      </c>
      <c r="I654" s="1" t="s">
        <v>30</v>
      </c>
      <c r="J654" s="1" t="s">
        <v>1015</v>
      </c>
      <c r="K654" s="2" t="s">
        <v>1015</v>
      </c>
      <c r="L654" s="6">
        <v>69</v>
      </c>
      <c r="M654" s="2">
        <v>0</v>
      </c>
      <c r="N654" s="6" t="s">
        <v>31</v>
      </c>
      <c r="O654" s="2" t="s">
        <v>32</v>
      </c>
      <c r="P654" s="8">
        <v>0</v>
      </c>
    </row>
    <row r="655" spans="1:16" x14ac:dyDescent="0.3">
      <c r="A655" s="16"/>
      <c r="B655" s="1">
        <v>654</v>
      </c>
      <c r="C655" s="1" t="s">
        <v>179</v>
      </c>
      <c r="D655" s="1">
        <v>54149225</v>
      </c>
      <c r="E655" s="1" t="s">
        <v>781</v>
      </c>
      <c r="F655" s="1" t="s">
        <v>782</v>
      </c>
      <c r="G655" s="1" t="s">
        <v>17</v>
      </c>
      <c r="H655" s="1" t="s">
        <v>18</v>
      </c>
      <c r="I655" s="1" t="s">
        <v>30</v>
      </c>
      <c r="J655" s="1" t="s">
        <v>20</v>
      </c>
      <c r="K655" s="2" t="s">
        <v>20</v>
      </c>
      <c r="L655" s="6">
        <v>43</v>
      </c>
      <c r="M655" s="2">
        <v>0</v>
      </c>
      <c r="N655" s="6" t="s">
        <v>31</v>
      </c>
      <c r="O655" s="2" t="s">
        <v>32</v>
      </c>
      <c r="P655" s="8">
        <v>0</v>
      </c>
    </row>
    <row r="656" spans="1:16" x14ac:dyDescent="0.3">
      <c r="A656" s="16"/>
      <c r="B656" s="1">
        <v>655</v>
      </c>
      <c r="C656" s="1" t="s">
        <v>179</v>
      </c>
      <c r="D656" s="1">
        <v>55149845</v>
      </c>
      <c r="E656" s="1" t="s">
        <v>783</v>
      </c>
      <c r="F656" s="1" t="s">
        <v>784</v>
      </c>
      <c r="G656" s="1" t="s">
        <v>17</v>
      </c>
      <c r="H656" s="1" t="s">
        <v>18</v>
      </c>
      <c r="I656" s="1" t="s">
        <v>19</v>
      </c>
      <c r="J656" s="1" t="s">
        <v>20</v>
      </c>
      <c r="K656" s="2" t="s">
        <v>20</v>
      </c>
      <c r="L656" s="6">
        <v>47</v>
      </c>
      <c r="M656" s="2">
        <v>2.93</v>
      </c>
      <c r="N656" s="6" t="s">
        <v>58</v>
      </c>
      <c r="O656" s="2" t="s">
        <v>22</v>
      </c>
      <c r="P656" s="8">
        <v>122000</v>
      </c>
    </row>
    <row r="657" spans="1:16" x14ac:dyDescent="0.3">
      <c r="A657" s="16"/>
      <c r="B657" s="1">
        <v>656</v>
      </c>
      <c r="C657" s="1" t="s">
        <v>179</v>
      </c>
      <c r="D657" s="1">
        <v>55950026</v>
      </c>
      <c r="E657" s="1" t="s">
        <v>785</v>
      </c>
      <c r="F657" s="1" t="s">
        <v>445</v>
      </c>
      <c r="G657" s="1" t="s">
        <v>17</v>
      </c>
      <c r="H657" s="1" t="s">
        <v>18</v>
      </c>
      <c r="I657" s="1" t="s">
        <v>19</v>
      </c>
      <c r="J657" s="1" t="s">
        <v>1015</v>
      </c>
      <c r="K657" s="2" t="s">
        <v>1015</v>
      </c>
      <c r="L657" s="6">
        <v>44</v>
      </c>
      <c r="M657" s="2">
        <v>4.33</v>
      </c>
      <c r="N657" s="6" t="s">
        <v>21</v>
      </c>
      <c r="O657" s="2" t="s">
        <v>27</v>
      </c>
      <c r="P657" s="8">
        <v>210000</v>
      </c>
    </row>
    <row r="658" spans="1:16" x14ac:dyDescent="0.3">
      <c r="A658" s="16"/>
      <c r="B658" s="1">
        <v>657</v>
      </c>
      <c r="C658" s="1" t="s">
        <v>179</v>
      </c>
      <c r="D658" s="1">
        <v>55949348</v>
      </c>
      <c r="E658" s="1" t="s">
        <v>786</v>
      </c>
      <c r="F658" s="1" t="s">
        <v>445</v>
      </c>
      <c r="G658" s="1" t="s">
        <v>17</v>
      </c>
      <c r="H658" s="1" t="s">
        <v>18</v>
      </c>
      <c r="I658" s="1" t="s">
        <v>30</v>
      </c>
      <c r="J658" s="1" t="s">
        <v>20</v>
      </c>
      <c r="K658" s="2" t="s">
        <v>20</v>
      </c>
      <c r="L658" s="6">
        <v>58</v>
      </c>
      <c r="M658" s="2">
        <v>0</v>
      </c>
      <c r="N658" s="6" t="s">
        <v>31</v>
      </c>
      <c r="O658" s="2" t="s">
        <v>32</v>
      </c>
      <c r="P658" s="8">
        <v>0</v>
      </c>
    </row>
    <row r="659" spans="1:16" x14ac:dyDescent="0.3">
      <c r="A659" s="16"/>
      <c r="B659" s="1">
        <v>658</v>
      </c>
      <c r="C659" s="1" t="s">
        <v>179</v>
      </c>
      <c r="D659" s="1">
        <v>1950669239</v>
      </c>
      <c r="E659" s="1" t="s">
        <v>1073</v>
      </c>
      <c r="F659" s="1" t="s">
        <v>1244</v>
      </c>
      <c r="G659" s="1" t="s">
        <v>17</v>
      </c>
      <c r="H659" s="1" t="s">
        <v>18</v>
      </c>
      <c r="I659" s="1" t="s">
        <v>30</v>
      </c>
      <c r="J659" s="1" t="s">
        <v>20</v>
      </c>
      <c r="K659" s="2" t="s">
        <v>20</v>
      </c>
      <c r="L659" s="6">
        <v>64</v>
      </c>
      <c r="M659" s="2">
        <v>0</v>
      </c>
      <c r="N659" s="6" t="s">
        <v>31</v>
      </c>
      <c r="O659" s="2" t="s">
        <v>32</v>
      </c>
      <c r="P659" s="8">
        <v>0</v>
      </c>
    </row>
    <row r="660" spans="1:16" x14ac:dyDescent="0.3">
      <c r="A660" s="16"/>
      <c r="B660" s="1">
        <v>659</v>
      </c>
      <c r="C660" s="1" t="s">
        <v>179</v>
      </c>
      <c r="D660" s="1">
        <v>55138032</v>
      </c>
      <c r="E660" s="1" t="s">
        <v>787</v>
      </c>
      <c r="F660" s="1" t="s">
        <v>788</v>
      </c>
      <c r="G660" s="1" t="s">
        <v>17</v>
      </c>
      <c r="H660" s="1" t="s">
        <v>25</v>
      </c>
      <c r="I660" s="1" t="s">
        <v>184</v>
      </c>
      <c r="J660" s="1" t="s">
        <v>1015</v>
      </c>
      <c r="K660" s="2" t="s">
        <v>1015</v>
      </c>
      <c r="L660" s="6">
        <v>57</v>
      </c>
      <c r="M660" s="2">
        <v>0.17</v>
      </c>
      <c r="N660" s="6" t="s">
        <v>21</v>
      </c>
      <c r="O660" s="2" t="s">
        <v>59</v>
      </c>
      <c r="P660" s="8">
        <v>9000</v>
      </c>
    </row>
    <row r="661" spans="1:16" x14ac:dyDescent="0.3">
      <c r="A661" s="16"/>
      <c r="B661" s="1">
        <v>660</v>
      </c>
      <c r="C661" s="1" t="s">
        <v>179</v>
      </c>
      <c r="D661" s="1">
        <v>55526125</v>
      </c>
      <c r="E661" s="1" t="s">
        <v>789</v>
      </c>
      <c r="F661" s="1" t="s">
        <v>309</v>
      </c>
      <c r="G661" s="1" t="s">
        <v>17</v>
      </c>
      <c r="H661" s="1" t="s">
        <v>18</v>
      </c>
      <c r="I661" s="1" t="s">
        <v>30</v>
      </c>
      <c r="J661" s="1" t="s">
        <v>1015</v>
      </c>
      <c r="K661" s="2" t="s">
        <v>1015</v>
      </c>
      <c r="L661" s="6">
        <v>39</v>
      </c>
      <c r="M661" s="2">
        <v>0</v>
      </c>
      <c r="N661" s="6" t="s">
        <v>31</v>
      </c>
      <c r="O661" s="2" t="s">
        <v>32</v>
      </c>
      <c r="P661" s="8">
        <v>0</v>
      </c>
    </row>
    <row r="662" spans="1:16" x14ac:dyDescent="0.3">
      <c r="A662" s="16"/>
      <c r="B662" s="1">
        <v>661</v>
      </c>
      <c r="C662" s="1" t="s">
        <v>179</v>
      </c>
      <c r="D662" s="1">
        <v>55477485</v>
      </c>
      <c r="E662" s="1" t="s">
        <v>790</v>
      </c>
      <c r="F662" s="1" t="s">
        <v>239</v>
      </c>
      <c r="G662" s="1" t="s">
        <v>17</v>
      </c>
      <c r="H662" s="1" t="s">
        <v>18</v>
      </c>
      <c r="I662" s="1" t="s">
        <v>26</v>
      </c>
      <c r="J662" s="1" t="s">
        <v>20</v>
      </c>
      <c r="K662" s="2" t="s">
        <v>20</v>
      </c>
      <c r="L662" s="6">
        <v>72</v>
      </c>
      <c r="M662" s="2">
        <v>6.5</v>
      </c>
      <c r="N662" s="6" t="s">
        <v>21</v>
      </c>
      <c r="O662" s="2" t="s">
        <v>41</v>
      </c>
      <c r="P662" s="8">
        <v>250000</v>
      </c>
    </row>
    <row r="663" spans="1:16" x14ac:dyDescent="0.3">
      <c r="A663" s="16"/>
      <c r="B663" s="1">
        <v>662</v>
      </c>
      <c r="C663" s="1" t="s">
        <v>179</v>
      </c>
      <c r="D663" s="1">
        <v>55167482</v>
      </c>
      <c r="E663" s="1" t="s">
        <v>791</v>
      </c>
      <c r="F663" s="1" t="s">
        <v>792</v>
      </c>
      <c r="G663" s="1" t="s">
        <v>17</v>
      </c>
      <c r="H663" s="1" t="s">
        <v>18</v>
      </c>
      <c r="I663" s="1" t="s">
        <v>19</v>
      </c>
      <c r="J663" s="1" t="s">
        <v>1015</v>
      </c>
      <c r="K663" s="2" t="s">
        <v>1015</v>
      </c>
      <c r="L663" s="6">
        <v>63</v>
      </c>
      <c r="M663" s="2">
        <v>0.96</v>
      </c>
      <c r="N663" s="6" t="s">
        <v>21</v>
      </c>
      <c r="O663" s="2" t="s">
        <v>74</v>
      </c>
      <c r="P663" s="8">
        <v>56000</v>
      </c>
    </row>
    <row r="664" spans="1:16" x14ac:dyDescent="0.3">
      <c r="A664" s="16"/>
      <c r="B664" s="1">
        <v>663</v>
      </c>
      <c r="C664" s="1" t="s">
        <v>179</v>
      </c>
      <c r="D664" s="1">
        <v>55965192</v>
      </c>
      <c r="E664" s="1" t="s">
        <v>1172</v>
      </c>
      <c r="F664" s="1" t="s">
        <v>218</v>
      </c>
      <c r="G664" s="1" t="s">
        <v>17</v>
      </c>
      <c r="H664" s="1" t="s">
        <v>18</v>
      </c>
      <c r="I664" s="1" t="s">
        <v>30</v>
      </c>
      <c r="J664" s="1" t="s">
        <v>1015</v>
      </c>
      <c r="K664" s="2" t="s">
        <v>1015</v>
      </c>
      <c r="L664" s="6">
        <v>50</v>
      </c>
      <c r="M664" s="2">
        <v>0</v>
      </c>
      <c r="N664" s="6" t="s">
        <v>31</v>
      </c>
      <c r="O664" s="2" t="s">
        <v>32</v>
      </c>
      <c r="P664" s="8">
        <v>0</v>
      </c>
    </row>
    <row r="665" spans="1:16" x14ac:dyDescent="0.3">
      <c r="A665" s="16"/>
      <c r="B665" s="1">
        <v>664</v>
      </c>
      <c r="C665" s="1" t="s">
        <v>179</v>
      </c>
      <c r="D665" s="1">
        <v>55455176</v>
      </c>
      <c r="E665" s="1" t="s">
        <v>793</v>
      </c>
      <c r="F665" s="1" t="s">
        <v>569</v>
      </c>
      <c r="G665" s="1" t="s">
        <v>17</v>
      </c>
      <c r="H665" s="1" t="s">
        <v>25</v>
      </c>
      <c r="I665" s="1" t="s">
        <v>216</v>
      </c>
      <c r="J665" s="1" t="s">
        <v>20</v>
      </c>
      <c r="K665" s="2" t="s">
        <v>20</v>
      </c>
      <c r="L665" s="6">
        <v>29</v>
      </c>
      <c r="M665" s="2">
        <v>5.41</v>
      </c>
      <c r="N665" s="6" t="s">
        <v>21</v>
      </c>
      <c r="O665" s="2" t="s">
        <v>27</v>
      </c>
      <c r="P665" s="8">
        <v>227000</v>
      </c>
    </row>
    <row r="666" spans="1:16" x14ac:dyDescent="0.3">
      <c r="A666" s="16"/>
      <c r="B666" s="1">
        <v>665</v>
      </c>
      <c r="C666" s="1" t="s">
        <v>179</v>
      </c>
      <c r="D666" s="1">
        <v>55517262</v>
      </c>
      <c r="E666" s="1" t="s">
        <v>794</v>
      </c>
      <c r="F666" s="1" t="s">
        <v>795</v>
      </c>
      <c r="G666" s="1" t="s">
        <v>17</v>
      </c>
      <c r="H666" s="1" t="s">
        <v>25</v>
      </c>
      <c r="I666" s="1" t="s">
        <v>216</v>
      </c>
      <c r="J666" s="1" t="s">
        <v>20</v>
      </c>
      <c r="K666" s="2" t="s">
        <v>20</v>
      </c>
      <c r="L666" s="6">
        <v>68</v>
      </c>
      <c r="M666" s="2">
        <v>0.43</v>
      </c>
      <c r="N666" s="6" t="s">
        <v>21</v>
      </c>
      <c r="O666" s="2" t="s">
        <v>361</v>
      </c>
      <c r="P666" s="8">
        <v>13000</v>
      </c>
    </row>
    <row r="667" spans="1:16" x14ac:dyDescent="0.3">
      <c r="A667" s="16"/>
      <c r="B667" s="1">
        <v>666</v>
      </c>
      <c r="C667" s="1" t="s">
        <v>179</v>
      </c>
      <c r="D667" s="1">
        <v>55138603</v>
      </c>
      <c r="E667" s="1" t="s">
        <v>796</v>
      </c>
      <c r="F667" s="1" t="s">
        <v>316</v>
      </c>
      <c r="G667" s="1" t="s">
        <v>88</v>
      </c>
      <c r="H667" s="1" t="s">
        <v>18</v>
      </c>
      <c r="I667" s="1" t="s">
        <v>120</v>
      </c>
      <c r="J667" s="1" t="s">
        <v>20</v>
      </c>
      <c r="K667" s="2" t="s">
        <v>20</v>
      </c>
      <c r="L667" s="6">
        <v>45</v>
      </c>
      <c r="M667" s="2">
        <v>2.2200000000000002</v>
      </c>
      <c r="N667" s="6" t="s">
        <v>21</v>
      </c>
      <c r="O667" s="2" t="s">
        <v>27</v>
      </c>
      <c r="P667" s="8">
        <v>123000</v>
      </c>
    </row>
    <row r="668" spans="1:16" x14ac:dyDescent="0.3">
      <c r="A668" s="16"/>
      <c r="B668" s="1">
        <v>667</v>
      </c>
      <c r="C668" s="1" t="s">
        <v>179</v>
      </c>
      <c r="D668" s="1">
        <v>811303163</v>
      </c>
      <c r="E668" s="1" t="s">
        <v>1173</v>
      </c>
      <c r="F668" s="1" t="s">
        <v>1238</v>
      </c>
      <c r="G668" s="1" t="s">
        <v>17</v>
      </c>
      <c r="H668" s="1" t="s">
        <v>18</v>
      </c>
      <c r="I668" s="1" t="s">
        <v>30</v>
      </c>
      <c r="J668" s="1" t="s">
        <v>20</v>
      </c>
      <c r="K668" s="2" t="s">
        <v>20</v>
      </c>
      <c r="L668" s="6">
        <v>34</v>
      </c>
      <c r="M668" s="2">
        <v>0</v>
      </c>
      <c r="N668" s="6" t="s">
        <v>31</v>
      </c>
      <c r="O668" s="2" t="s">
        <v>32</v>
      </c>
      <c r="P668" s="8">
        <v>0</v>
      </c>
    </row>
    <row r="669" spans="1:16" x14ac:dyDescent="0.3">
      <c r="A669" s="16"/>
      <c r="B669" s="1">
        <v>668</v>
      </c>
      <c r="C669" s="1" t="s">
        <v>179</v>
      </c>
      <c r="D669" s="1">
        <v>54650877</v>
      </c>
      <c r="E669" s="1" t="s">
        <v>797</v>
      </c>
      <c r="F669" s="1" t="s">
        <v>798</v>
      </c>
      <c r="G669" s="1" t="s">
        <v>17</v>
      </c>
      <c r="H669" s="1" t="s">
        <v>18</v>
      </c>
      <c r="I669" s="1" t="s">
        <v>184</v>
      </c>
      <c r="J669" s="1" t="s">
        <v>20</v>
      </c>
      <c r="K669" s="2" t="s">
        <v>20</v>
      </c>
      <c r="L669" s="6">
        <v>85</v>
      </c>
      <c r="M669" s="2">
        <v>0.96</v>
      </c>
      <c r="N669" s="6" t="s">
        <v>21</v>
      </c>
      <c r="O669" s="2" t="s">
        <v>22</v>
      </c>
      <c r="P669" s="8">
        <v>35000</v>
      </c>
    </row>
    <row r="670" spans="1:16" x14ac:dyDescent="0.3">
      <c r="A670" s="16"/>
      <c r="B670" s="1">
        <v>669</v>
      </c>
      <c r="C670" s="1" t="s">
        <v>179</v>
      </c>
      <c r="D670" s="1">
        <v>55933808</v>
      </c>
      <c r="E670" s="1" t="s">
        <v>799</v>
      </c>
      <c r="F670" s="1" t="s">
        <v>800</v>
      </c>
      <c r="G670" s="1" t="s">
        <v>17</v>
      </c>
      <c r="H670" s="1" t="s">
        <v>25</v>
      </c>
      <c r="I670" s="1" t="s">
        <v>26</v>
      </c>
      <c r="J670" s="1" t="s">
        <v>1015</v>
      </c>
      <c r="K670" s="2" t="s">
        <v>1015</v>
      </c>
      <c r="L670" s="6">
        <v>50</v>
      </c>
      <c r="M670" s="2">
        <v>0.21</v>
      </c>
      <c r="N670" s="6" t="s">
        <v>21</v>
      </c>
      <c r="O670" s="2" t="s">
        <v>27</v>
      </c>
      <c r="P670" s="8">
        <v>9000</v>
      </c>
    </row>
    <row r="671" spans="1:16" x14ac:dyDescent="0.3">
      <c r="A671" s="16"/>
      <c r="B671" s="1">
        <v>670</v>
      </c>
      <c r="C671" s="1" t="s">
        <v>179</v>
      </c>
      <c r="D671" s="1">
        <v>55140310</v>
      </c>
      <c r="E671" s="1" t="s">
        <v>801</v>
      </c>
      <c r="F671" s="1" t="s">
        <v>215</v>
      </c>
      <c r="G671" s="1" t="s">
        <v>17</v>
      </c>
      <c r="H671" s="1" t="s">
        <v>18</v>
      </c>
      <c r="I671" s="1" t="s">
        <v>30</v>
      </c>
      <c r="J671" s="1" t="s">
        <v>20</v>
      </c>
      <c r="K671" s="2" t="s">
        <v>20</v>
      </c>
      <c r="L671" s="6">
        <v>54</v>
      </c>
      <c r="M671" s="2">
        <v>0</v>
      </c>
      <c r="N671" s="6" t="s">
        <v>31</v>
      </c>
      <c r="O671" s="2" t="s">
        <v>32</v>
      </c>
      <c r="P671" s="8">
        <v>0</v>
      </c>
    </row>
    <row r="672" spans="1:16" x14ac:dyDescent="0.3">
      <c r="A672" s="16"/>
      <c r="B672" s="1">
        <v>671</v>
      </c>
      <c r="C672" s="1" t="s">
        <v>179</v>
      </c>
      <c r="D672" s="1">
        <v>55454396</v>
      </c>
      <c r="E672" s="1" t="s">
        <v>802</v>
      </c>
      <c r="F672" s="1" t="s">
        <v>356</v>
      </c>
      <c r="G672" s="1" t="s">
        <v>17</v>
      </c>
      <c r="H672" s="1" t="s">
        <v>25</v>
      </c>
      <c r="I672" s="1" t="s">
        <v>216</v>
      </c>
      <c r="J672" s="1" t="s">
        <v>20</v>
      </c>
      <c r="K672" s="2" t="s">
        <v>20</v>
      </c>
      <c r="L672" s="6">
        <v>62</v>
      </c>
      <c r="M672" s="2">
        <v>2.48</v>
      </c>
      <c r="N672" s="6" t="s">
        <v>21</v>
      </c>
      <c r="O672" s="2" t="s">
        <v>41</v>
      </c>
      <c r="P672" s="8">
        <v>74000</v>
      </c>
    </row>
    <row r="673" spans="1:16" x14ac:dyDescent="0.3">
      <c r="A673" s="16"/>
      <c r="B673" s="1">
        <v>672</v>
      </c>
      <c r="C673" s="1" t="s">
        <v>179</v>
      </c>
      <c r="D673" s="1">
        <v>55515338</v>
      </c>
      <c r="E673" s="1" t="s">
        <v>803</v>
      </c>
      <c r="F673" s="1" t="s">
        <v>268</v>
      </c>
      <c r="G673" s="1" t="s">
        <v>17</v>
      </c>
      <c r="H673" s="1" t="s">
        <v>18</v>
      </c>
      <c r="I673" s="1" t="s">
        <v>19</v>
      </c>
      <c r="J673" s="1" t="s">
        <v>20</v>
      </c>
      <c r="K673" s="2" t="s">
        <v>20</v>
      </c>
      <c r="L673" s="6">
        <v>67</v>
      </c>
      <c r="M673" s="2">
        <v>3.13</v>
      </c>
      <c r="N673" s="6" t="s">
        <v>21</v>
      </c>
      <c r="O673" s="2" t="s">
        <v>59</v>
      </c>
      <c r="P673" s="8">
        <v>65000</v>
      </c>
    </row>
    <row r="674" spans="1:16" x14ac:dyDescent="0.3">
      <c r="A674" s="16"/>
      <c r="B674" s="1">
        <v>673</v>
      </c>
      <c r="C674" s="1" t="s">
        <v>179</v>
      </c>
      <c r="D674" s="1">
        <v>47909473</v>
      </c>
      <c r="E674" s="1" t="s">
        <v>804</v>
      </c>
      <c r="F674" s="1" t="s">
        <v>805</v>
      </c>
      <c r="G674" s="1" t="s">
        <v>17</v>
      </c>
      <c r="H674" s="1" t="s">
        <v>18</v>
      </c>
      <c r="I674" s="1" t="s">
        <v>19</v>
      </c>
      <c r="J674" s="1" t="s">
        <v>20</v>
      </c>
      <c r="K674" s="2" t="s">
        <v>20</v>
      </c>
      <c r="L674" s="6">
        <v>47</v>
      </c>
      <c r="M674" s="2">
        <v>4.24</v>
      </c>
      <c r="N674" s="6" t="s">
        <v>21</v>
      </c>
      <c r="O674" s="2" t="s">
        <v>22</v>
      </c>
      <c r="P674" s="8">
        <v>235000</v>
      </c>
    </row>
    <row r="675" spans="1:16" x14ac:dyDescent="0.3">
      <c r="A675" s="16"/>
      <c r="B675" s="1">
        <v>674</v>
      </c>
      <c r="C675" s="1" t="s">
        <v>179</v>
      </c>
      <c r="D675" s="1">
        <v>55167903</v>
      </c>
      <c r="E675" s="1" t="s">
        <v>1174</v>
      </c>
      <c r="F675" s="1" t="s">
        <v>806</v>
      </c>
      <c r="G675" s="1" t="s">
        <v>88</v>
      </c>
      <c r="H675" s="1" t="s">
        <v>18</v>
      </c>
      <c r="I675" s="1" t="s">
        <v>120</v>
      </c>
      <c r="J675" s="1" t="s">
        <v>20</v>
      </c>
      <c r="K675" s="2" t="s">
        <v>20</v>
      </c>
      <c r="L675" s="6">
        <v>27</v>
      </c>
      <c r="M675" s="2">
        <v>0.2</v>
      </c>
      <c r="N675" s="6" t="s">
        <v>21</v>
      </c>
      <c r="O675" s="2" t="s">
        <v>41</v>
      </c>
      <c r="P675" s="8">
        <v>8000</v>
      </c>
    </row>
    <row r="676" spans="1:16" x14ac:dyDescent="0.3">
      <c r="A676" s="16"/>
      <c r="B676" s="1">
        <v>675</v>
      </c>
      <c r="C676" s="1" t="s">
        <v>179</v>
      </c>
      <c r="D676" s="1">
        <v>55152712</v>
      </c>
      <c r="E676" s="1" t="s">
        <v>1175</v>
      </c>
      <c r="F676" s="1" t="s">
        <v>1289</v>
      </c>
      <c r="G676" s="1" t="s">
        <v>17</v>
      </c>
      <c r="H676" s="1" t="s">
        <v>25</v>
      </c>
      <c r="I676" s="1" t="s">
        <v>26</v>
      </c>
      <c r="J676" s="1" t="s">
        <v>20</v>
      </c>
      <c r="K676" s="2" t="s">
        <v>20</v>
      </c>
      <c r="L676" s="6">
        <v>40</v>
      </c>
      <c r="M676" s="2">
        <v>0.56999999999999995</v>
      </c>
      <c r="N676" s="6" t="s">
        <v>21</v>
      </c>
      <c r="O676" s="2" t="s">
        <v>27</v>
      </c>
      <c r="P676" s="8">
        <v>16000</v>
      </c>
    </row>
    <row r="677" spans="1:16" x14ac:dyDescent="0.3">
      <c r="A677" s="16"/>
      <c r="B677" s="1">
        <v>676</v>
      </c>
      <c r="C677" s="1" t="s">
        <v>179</v>
      </c>
      <c r="D677" s="1">
        <v>55954716</v>
      </c>
      <c r="E677" s="1" t="s">
        <v>807</v>
      </c>
      <c r="F677" s="1" t="s">
        <v>326</v>
      </c>
      <c r="G677" s="1" t="s">
        <v>17</v>
      </c>
      <c r="H677" s="1" t="s">
        <v>18</v>
      </c>
      <c r="I677" s="1" t="s">
        <v>30</v>
      </c>
      <c r="J677" s="1" t="s">
        <v>20</v>
      </c>
      <c r="K677" s="2" t="s">
        <v>20</v>
      </c>
      <c r="L677" s="6">
        <v>73</v>
      </c>
      <c r="M677" s="2">
        <v>0</v>
      </c>
      <c r="N677" s="6" t="s">
        <v>31</v>
      </c>
      <c r="O677" s="2" t="s">
        <v>32</v>
      </c>
      <c r="P677" s="8">
        <v>0</v>
      </c>
    </row>
    <row r="678" spans="1:16" x14ac:dyDescent="0.3">
      <c r="A678" s="16"/>
      <c r="B678" s="1">
        <v>677</v>
      </c>
      <c r="C678" s="1" t="s">
        <v>179</v>
      </c>
      <c r="D678" s="1">
        <v>47915846</v>
      </c>
      <c r="E678" s="1" t="s">
        <v>1176</v>
      </c>
      <c r="F678" s="1" t="s">
        <v>1236</v>
      </c>
      <c r="G678" s="1" t="s">
        <v>17</v>
      </c>
      <c r="H678" s="1" t="s">
        <v>18</v>
      </c>
      <c r="I678" s="1" t="s">
        <v>19</v>
      </c>
      <c r="J678" s="1" t="s">
        <v>20</v>
      </c>
      <c r="K678" s="2" t="s">
        <v>20</v>
      </c>
      <c r="L678" s="6">
        <v>63</v>
      </c>
      <c r="M678" s="2">
        <v>0.99</v>
      </c>
      <c r="N678" s="6" t="s">
        <v>58</v>
      </c>
      <c r="O678" s="2" t="s">
        <v>22</v>
      </c>
      <c r="P678" s="8">
        <v>34000</v>
      </c>
    </row>
    <row r="679" spans="1:16" x14ac:dyDescent="0.3">
      <c r="A679" s="16"/>
      <c r="B679" s="1">
        <v>678</v>
      </c>
      <c r="C679" s="1" t="s">
        <v>179</v>
      </c>
      <c r="D679" s="1">
        <v>55509068</v>
      </c>
      <c r="E679" s="1" t="s">
        <v>1177</v>
      </c>
      <c r="F679" s="1" t="s">
        <v>649</v>
      </c>
      <c r="G679" s="1" t="s">
        <v>17</v>
      </c>
      <c r="H679" s="1" t="s">
        <v>18</v>
      </c>
      <c r="I679" s="1" t="s">
        <v>120</v>
      </c>
      <c r="J679" s="1" t="s">
        <v>20</v>
      </c>
      <c r="K679" s="2" t="s">
        <v>20</v>
      </c>
      <c r="L679" s="6">
        <v>66</v>
      </c>
      <c r="M679" s="2">
        <v>0.94</v>
      </c>
      <c r="N679" s="6" t="s">
        <v>21</v>
      </c>
      <c r="O679" s="2" t="s">
        <v>41</v>
      </c>
      <c r="P679" s="8">
        <v>35000</v>
      </c>
    </row>
    <row r="680" spans="1:16" x14ac:dyDescent="0.3">
      <c r="A680" s="16"/>
      <c r="B680" s="1">
        <v>679</v>
      </c>
      <c r="C680" s="1" t="s">
        <v>179</v>
      </c>
      <c r="D680" s="1">
        <v>1950673774</v>
      </c>
      <c r="E680" s="1" t="s">
        <v>1076</v>
      </c>
      <c r="F680" s="1" t="s">
        <v>680</v>
      </c>
      <c r="G680" s="1" t="s">
        <v>88</v>
      </c>
      <c r="H680" s="1" t="s">
        <v>18</v>
      </c>
      <c r="I680" s="1" t="s">
        <v>120</v>
      </c>
      <c r="J680" s="1" t="s">
        <v>20</v>
      </c>
      <c r="K680" s="2" t="s">
        <v>20</v>
      </c>
      <c r="L680" s="6">
        <v>43</v>
      </c>
      <c r="M680" s="2">
        <v>1.22</v>
      </c>
      <c r="N680" s="6" t="s">
        <v>21</v>
      </c>
      <c r="O680" s="2" t="s">
        <v>22</v>
      </c>
      <c r="P680" s="8">
        <v>64000</v>
      </c>
    </row>
    <row r="681" spans="1:16" x14ac:dyDescent="0.3">
      <c r="A681" s="16"/>
      <c r="B681" s="1">
        <v>680</v>
      </c>
      <c r="C681" s="1" t="s">
        <v>179</v>
      </c>
      <c r="D681" s="1">
        <v>55144509</v>
      </c>
      <c r="E681" s="1" t="s">
        <v>808</v>
      </c>
      <c r="F681" s="1" t="s">
        <v>386</v>
      </c>
      <c r="G681" s="1" t="s">
        <v>17</v>
      </c>
      <c r="H681" s="1" t="s">
        <v>18</v>
      </c>
      <c r="I681" s="1" t="s">
        <v>120</v>
      </c>
      <c r="J681" s="1" t="s">
        <v>20</v>
      </c>
      <c r="K681" s="2" t="s">
        <v>20</v>
      </c>
      <c r="L681" s="6">
        <v>67</v>
      </c>
      <c r="M681" s="2">
        <v>1</v>
      </c>
      <c r="N681" s="6" t="s">
        <v>21</v>
      </c>
      <c r="O681" s="2" t="s">
        <v>59</v>
      </c>
      <c r="P681" s="8">
        <v>29000</v>
      </c>
    </row>
    <row r="682" spans="1:16" x14ac:dyDescent="0.3">
      <c r="A682" s="16"/>
      <c r="B682" s="1">
        <v>681</v>
      </c>
      <c r="C682" s="1" t="s">
        <v>179</v>
      </c>
      <c r="D682" s="1">
        <v>811347865</v>
      </c>
      <c r="E682" s="1" t="s">
        <v>809</v>
      </c>
      <c r="F682" s="1" t="s">
        <v>810</v>
      </c>
      <c r="G682" s="1" t="s">
        <v>17</v>
      </c>
      <c r="H682" s="1" t="s">
        <v>18</v>
      </c>
      <c r="I682" s="1" t="s">
        <v>30</v>
      </c>
      <c r="J682" s="1" t="s">
        <v>20</v>
      </c>
      <c r="K682" s="2" t="s">
        <v>20</v>
      </c>
      <c r="L682" s="6">
        <v>53</v>
      </c>
      <c r="M682" s="2">
        <v>0</v>
      </c>
      <c r="N682" s="6" t="s">
        <v>31</v>
      </c>
      <c r="O682" s="2" t="s">
        <v>32</v>
      </c>
      <c r="P682" s="8">
        <v>0</v>
      </c>
    </row>
    <row r="683" spans="1:16" x14ac:dyDescent="0.3">
      <c r="A683" s="16"/>
      <c r="B683" s="1">
        <v>682</v>
      </c>
      <c r="C683" s="1" t="s">
        <v>179</v>
      </c>
      <c r="D683" s="1">
        <v>55467384</v>
      </c>
      <c r="E683" s="1" t="s">
        <v>811</v>
      </c>
      <c r="F683" s="1" t="s">
        <v>812</v>
      </c>
      <c r="G683" s="1" t="s">
        <v>17</v>
      </c>
      <c r="H683" s="1" t="s">
        <v>18</v>
      </c>
      <c r="I683" s="1" t="s">
        <v>19</v>
      </c>
      <c r="J683" s="1" t="s">
        <v>20</v>
      </c>
      <c r="K683" s="2" t="s">
        <v>20</v>
      </c>
      <c r="L683" s="6">
        <v>60</v>
      </c>
      <c r="M683" s="2">
        <v>3.11</v>
      </c>
      <c r="N683" s="6" t="s">
        <v>21</v>
      </c>
      <c r="O683" s="2" t="s">
        <v>27</v>
      </c>
      <c r="P683" s="8">
        <v>124000</v>
      </c>
    </row>
    <row r="684" spans="1:16" x14ac:dyDescent="0.3">
      <c r="A684" s="16"/>
      <c r="B684" s="1">
        <v>683</v>
      </c>
      <c r="C684" s="1" t="s">
        <v>179</v>
      </c>
      <c r="D684" s="1">
        <v>25604049</v>
      </c>
      <c r="E684" s="1" t="s">
        <v>813</v>
      </c>
      <c r="F684" s="1" t="s">
        <v>814</v>
      </c>
      <c r="G684" s="1" t="s">
        <v>17</v>
      </c>
      <c r="H684" s="1" t="s">
        <v>18</v>
      </c>
      <c r="I684" s="1" t="s">
        <v>30</v>
      </c>
      <c r="J684" s="1" t="s">
        <v>20</v>
      </c>
      <c r="K684" s="2" t="s">
        <v>20</v>
      </c>
      <c r="L684" s="6">
        <v>58</v>
      </c>
      <c r="M684" s="2">
        <v>0</v>
      </c>
      <c r="N684" s="6" t="s">
        <v>31</v>
      </c>
      <c r="O684" s="2" t="s">
        <v>32</v>
      </c>
      <c r="P684" s="8">
        <v>0</v>
      </c>
    </row>
    <row r="685" spans="1:16" x14ac:dyDescent="0.3">
      <c r="A685" s="16"/>
      <c r="B685" s="1">
        <v>684</v>
      </c>
      <c r="C685" s="1" t="s">
        <v>179</v>
      </c>
      <c r="D685" s="1">
        <v>811302027</v>
      </c>
      <c r="E685" s="1" t="s">
        <v>1178</v>
      </c>
      <c r="F685" s="1" t="s">
        <v>1290</v>
      </c>
      <c r="G685" s="1" t="s">
        <v>17</v>
      </c>
      <c r="H685" s="1" t="s">
        <v>25</v>
      </c>
      <c r="I685" s="1" t="s">
        <v>216</v>
      </c>
      <c r="J685" s="1" t="s">
        <v>20</v>
      </c>
      <c r="K685" s="2" t="s">
        <v>20</v>
      </c>
      <c r="L685" s="6">
        <v>59</v>
      </c>
      <c r="M685" s="2">
        <v>2.44</v>
      </c>
      <c r="N685" s="6" t="s">
        <v>36</v>
      </c>
      <c r="O685" s="2" t="s">
        <v>27</v>
      </c>
      <c r="P685" s="8">
        <v>71000</v>
      </c>
    </row>
    <row r="686" spans="1:16" x14ac:dyDescent="0.3">
      <c r="A686" s="16"/>
      <c r="B686" s="1">
        <v>685</v>
      </c>
      <c r="C686" s="1" t="s">
        <v>179</v>
      </c>
      <c r="D686" s="1">
        <v>811348057</v>
      </c>
      <c r="E686" s="1" t="s">
        <v>815</v>
      </c>
      <c r="F686" s="1" t="s">
        <v>816</v>
      </c>
      <c r="G686" s="1" t="s">
        <v>17</v>
      </c>
      <c r="H686" s="1" t="s">
        <v>18</v>
      </c>
      <c r="I686" s="1" t="s">
        <v>19</v>
      </c>
      <c r="J686" s="1" t="s">
        <v>20</v>
      </c>
      <c r="K686" s="2" t="s">
        <v>20</v>
      </c>
      <c r="L686" s="6">
        <v>31</v>
      </c>
      <c r="M686" s="2">
        <v>0.38</v>
      </c>
      <c r="N686" s="6" t="s">
        <v>21</v>
      </c>
      <c r="O686" s="2" t="s">
        <v>41</v>
      </c>
      <c r="P686" s="8">
        <v>11000</v>
      </c>
    </row>
    <row r="687" spans="1:16" x14ac:dyDescent="0.3">
      <c r="A687" s="16"/>
      <c r="B687" s="1">
        <v>686</v>
      </c>
      <c r="C687" s="1" t="s">
        <v>179</v>
      </c>
      <c r="D687" s="1">
        <v>1951683210</v>
      </c>
      <c r="E687" s="1" t="s">
        <v>817</v>
      </c>
      <c r="F687" s="1" t="s">
        <v>818</v>
      </c>
      <c r="G687" s="1" t="s">
        <v>88</v>
      </c>
      <c r="H687" s="1" t="s">
        <v>18</v>
      </c>
      <c r="I687" s="1" t="s">
        <v>120</v>
      </c>
      <c r="J687" s="1" t="s">
        <v>20</v>
      </c>
      <c r="K687" s="2" t="s">
        <v>20</v>
      </c>
      <c r="L687" s="6">
        <v>65</v>
      </c>
      <c r="M687" s="2">
        <v>1.08</v>
      </c>
      <c r="N687" s="6" t="s">
        <v>21</v>
      </c>
      <c r="O687" s="2" t="s">
        <v>22</v>
      </c>
      <c r="P687" s="8">
        <v>54000</v>
      </c>
    </row>
    <row r="688" spans="1:16" x14ac:dyDescent="0.3">
      <c r="A688" s="16"/>
      <c r="B688" s="1">
        <v>687</v>
      </c>
      <c r="C688" s="1" t="s">
        <v>179</v>
      </c>
      <c r="D688" s="1">
        <v>55927491</v>
      </c>
      <c r="E688" s="1" t="s">
        <v>819</v>
      </c>
      <c r="F688" s="1" t="s">
        <v>820</v>
      </c>
      <c r="G688" s="1" t="s">
        <v>17</v>
      </c>
      <c r="H688" s="1" t="s">
        <v>18</v>
      </c>
      <c r="I688" s="1" t="s">
        <v>30</v>
      </c>
      <c r="J688" s="1" t="s">
        <v>20</v>
      </c>
      <c r="K688" s="2" t="s">
        <v>20</v>
      </c>
      <c r="L688" s="6">
        <v>37</v>
      </c>
      <c r="M688" s="2">
        <v>0</v>
      </c>
      <c r="N688" s="6" t="s">
        <v>31</v>
      </c>
      <c r="O688" s="2" t="s">
        <v>32</v>
      </c>
      <c r="P688" s="8">
        <v>0</v>
      </c>
    </row>
    <row r="689" spans="1:16" x14ac:dyDescent="0.3">
      <c r="A689" s="16"/>
      <c r="B689" s="1">
        <v>688</v>
      </c>
      <c r="C689" s="1" t="s">
        <v>179</v>
      </c>
      <c r="D689" s="1">
        <v>811301768</v>
      </c>
      <c r="E689" s="1" t="s">
        <v>1179</v>
      </c>
      <c r="F689" s="1" t="s">
        <v>1291</v>
      </c>
      <c r="G689" s="1" t="s">
        <v>17</v>
      </c>
      <c r="H689" s="1" t="s">
        <v>18</v>
      </c>
      <c r="I689" s="1" t="s">
        <v>30</v>
      </c>
      <c r="J689" s="1" t="s">
        <v>20</v>
      </c>
      <c r="K689" s="2" t="s">
        <v>20</v>
      </c>
      <c r="L689" s="6">
        <v>47</v>
      </c>
      <c r="M689" s="2">
        <v>0</v>
      </c>
      <c r="N689" s="6" t="s">
        <v>31</v>
      </c>
      <c r="O689" s="2" t="s">
        <v>32</v>
      </c>
      <c r="P689" s="8">
        <v>0</v>
      </c>
    </row>
    <row r="690" spans="1:16" x14ac:dyDescent="0.3">
      <c r="A690" s="16"/>
      <c r="B690" s="1">
        <v>689</v>
      </c>
      <c r="C690" s="1" t="s">
        <v>179</v>
      </c>
      <c r="D690" s="1">
        <v>55150811</v>
      </c>
      <c r="E690" s="1" t="s">
        <v>821</v>
      </c>
      <c r="F690" s="1" t="s">
        <v>684</v>
      </c>
      <c r="G690" s="1" t="s">
        <v>17</v>
      </c>
      <c r="H690" s="1" t="s">
        <v>18</v>
      </c>
      <c r="I690" s="1" t="s">
        <v>30</v>
      </c>
      <c r="J690" s="1" t="s">
        <v>20</v>
      </c>
      <c r="K690" s="2" t="s">
        <v>20</v>
      </c>
      <c r="L690" s="6">
        <v>53</v>
      </c>
      <c r="M690" s="2">
        <v>0</v>
      </c>
      <c r="N690" s="6" t="s">
        <v>31</v>
      </c>
      <c r="O690" s="2" t="s">
        <v>32</v>
      </c>
      <c r="P690" s="8">
        <v>0</v>
      </c>
    </row>
    <row r="691" spans="1:16" x14ac:dyDescent="0.3">
      <c r="A691" s="16"/>
      <c r="B691" s="1">
        <v>690</v>
      </c>
      <c r="C691" s="1" t="s">
        <v>179</v>
      </c>
      <c r="D691" s="1">
        <v>1950672959</v>
      </c>
      <c r="E691" s="1" t="s">
        <v>1077</v>
      </c>
      <c r="F691" s="1" t="s">
        <v>594</v>
      </c>
      <c r="G691" s="1" t="s">
        <v>17</v>
      </c>
      <c r="H691" s="1" t="s">
        <v>25</v>
      </c>
      <c r="I691" s="1" t="s">
        <v>216</v>
      </c>
      <c r="J691" s="1" t="s">
        <v>20</v>
      </c>
      <c r="K691" s="2" t="s">
        <v>1015</v>
      </c>
      <c r="L691" s="6">
        <v>41</v>
      </c>
      <c r="M691" s="2">
        <v>0.37</v>
      </c>
      <c r="N691" s="6" t="s">
        <v>21</v>
      </c>
      <c r="O691" s="2" t="s">
        <v>22</v>
      </c>
      <c r="P691" s="8">
        <v>20000</v>
      </c>
    </row>
    <row r="692" spans="1:16" x14ac:dyDescent="0.3">
      <c r="A692" s="16"/>
      <c r="B692" s="1">
        <v>691</v>
      </c>
      <c r="C692" s="1" t="s">
        <v>179</v>
      </c>
      <c r="D692" s="1">
        <v>811348026</v>
      </c>
      <c r="E692" s="1" t="s">
        <v>822</v>
      </c>
      <c r="F692" s="1" t="s">
        <v>823</v>
      </c>
      <c r="G692" s="1" t="s">
        <v>17</v>
      </c>
      <c r="H692" s="1" t="s">
        <v>18</v>
      </c>
      <c r="I692" s="1" t="s">
        <v>19</v>
      </c>
      <c r="J692" s="1" t="s">
        <v>20</v>
      </c>
      <c r="K692" s="2" t="s">
        <v>20</v>
      </c>
      <c r="L692" s="6">
        <v>61</v>
      </c>
      <c r="M692" s="2">
        <v>3.85</v>
      </c>
      <c r="N692" s="6" t="s">
        <v>21</v>
      </c>
      <c r="O692" s="2" t="s">
        <v>55</v>
      </c>
      <c r="P692" s="8">
        <v>169000</v>
      </c>
    </row>
    <row r="693" spans="1:16" x14ac:dyDescent="0.3">
      <c r="A693" s="16"/>
      <c r="B693" s="1">
        <v>692</v>
      </c>
      <c r="C693" s="1" t="s">
        <v>179</v>
      </c>
      <c r="D693" s="1">
        <v>811302501</v>
      </c>
      <c r="E693" s="1" t="s">
        <v>1180</v>
      </c>
      <c r="F693" s="1" t="s">
        <v>1250</v>
      </c>
      <c r="G693" s="1" t="s">
        <v>17</v>
      </c>
      <c r="H693" s="1" t="s">
        <v>18</v>
      </c>
      <c r="I693" s="1" t="s">
        <v>30</v>
      </c>
      <c r="J693" s="1" t="s">
        <v>20</v>
      </c>
      <c r="K693" s="2" t="s">
        <v>20</v>
      </c>
      <c r="L693" s="6">
        <v>71</v>
      </c>
      <c r="M693" s="2">
        <v>0</v>
      </c>
      <c r="N693" s="6" t="s">
        <v>31</v>
      </c>
      <c r="O693" s="2" t="s">
        <v>32</v>
      </c>
      <c r="P693" s="8">
        <v>0</v>
      </c>
    </row>
    <row r="694" spans="1:16" x14ac:dyDescent="0.3">
      <c r="A694" s="16"/>
      <c r="B694" s="1">
        <v>693</v>
      </c>
      <c r="C694" s="1" t="s">
        <v>179</v>
      </c>
      <c r="D694" s="1">
        <v>54137300</v>
      </c>
      <c r="E694" s="1" t="s">
        <v>824</v>
      </c>
      <c r="F694" s="1" t="s">
        <v>194</v>
      </c>
      <c r="G694" s="1" t="s">
        <v>17</v>
      </c>
      <c r="H694" s="1" t="s">
        <v>18</v>
      </c>
      <c r="I694" s="1" t="s">
        <v>19</v>
      </c>
      <c r="J694" s="1" t="s">
        <v>20</v>
      </c>
      <c r="K694" s="2" t="s">
        <v>20</v>
      </c>
      <c r="L694" s="6">
        <v>61</v>
      </c>
      <c r="M694" s="2">
        <v>3.33</v>
      </c>
      <c r="N694" s="6" t="s">
        <v>21</v>
      </c>
      <c r="O694" s="2" t="s">
        <v>74</v>
      </c>
      <c r="P694" s="8">
        <v>217000</v>
      </c>
    </row>
    <row r="695" spans="1:16" x14ac:dyDescent="0.3">
      <c r="A695" s="16"/>
      <c r="B695" s="1">
        <v>694</v>
      </c>
      <c r="C695" s="1" t="s">
        <v>179</v>
      </c>
      <c r="D695" s="1">
        <v>811325625</v>
      </c>
      <c r="E695" s="1" t="s">
        <v>825</v>
      </c>
      <c r="F695" s="1" t="s">
        <v>826</v>
      </c>
      <c r="G695" s="1" t="s">
        <v>17</v>
      </c>
      <c r="H695" s="1" t="s">
        <v>18</v>
      </c>
      <c r="I695" s="1" t="s">
        <v>19</v>
      </c>
      <c r="J695" s="1" t="s">
        <v>20</v>
      </c>
      <c r="K695" s="2" t="s">
        <v>20</v>
      </c>
      <c r="L695" s="6">
        <v>58</v>
      </c>
      <c r="M695" s="2">
        <v>0.87</v>
      </c>
      <c r="N695" s="6" t="s">
        <v>21</v>
      </c>
      <c r="O695" s="2" t="s">
        <v>59</v>
      </c>
      <c r="P695" s="8">
        <v>32000</v>
      </c>
    </row>
    <row r="696" spans="1:16" x14ac:dyDescent="0.3">
      <c r="A696" s="16"/>
      <c r="B696" s="1">
        <v>695</v>
      </c>
      <c r="C696" s="1" t="s">
        <v>179</v>
      </c>
      <c r="D696" s="1">
        <v>1950672802</v>
      </c>
      <c r="E696" s="1" t="s">
        <v>1078</v>
      </c>
      <c r="F696" s="1" t="s">
        <v>1213</v>
      </c>
      <c r="G696" s="1" t="s">
        <v>17</v>
      </c>
      <c r="H696" s="1" t="s">
        <v>25</v>
      </c>
      <c r="I696" s="1" t="s">
        <v>216</v>
      </c>
      <c r="J696" s="1" t="s">
        <v>20</v>
      </c>
      <c r="K696" s="2" t="s">
        <v>20</v>
      </c>
      <c r="L696" s="6">
        <v>51</v>
      </c>
      <c r="M696" s="2">
        <v>1.1100000000000001</v>
      </c>
      <c r="N696" s="6" t="s">
        <v>36</v>
      </c>
      <c r="O696" s="2" t="s">
        <v>22</v>
      </c>
      <c r="P696" s="8">
        <v>55000</v>
      </c>
    </row>
    <row r="697" spans="1:16" x14ac:dyDescent="0.3">
      <c r="A697" s="16"/>
      <c r="B697" s="1">
        <v>696</v>
      </c>
      <c r="C697" s="1" t="s">
        <v>179</v>
      </c>
      <c r="D697" s="1">
        <v>55116450</v>
      </c>
      <c r="E697" s="1" t="s">
        <v>1181</v>
      </c>
      <c r="F697" s="1" t="s">
        <v>1255</v>
      </c>
      <c r="G697" s="1" t="s">
        <v>17</v>
      </c>
      <c r="H697" s="1" t="s">
        <v>18</v>
      </c>
      <c r="I697" s="1" t="s">
        <v>30</v>
      </c>
      <c r="J697" s="1" t="s">
        <v>20</v>
      </c>
      <c r="K697" s="2" t="s">
        <v>20</v>
      </c>
      <c r="L697" s="6">
        <v>55</v>
      </c>
      <c r="M697" s="2">
        <v>0</v>
      </c>
      <c r="N697" s="6" t="s">
        <v>31</v>
      </c>
      <c r="O697" s="2" t="s">
        <v>32</v>
      </c>
      <c r="P697" s="8">
        <v>0</v>
      </c>
    </row>
    <row r="698" spans="1:16" x14ac:dyDescent="0.3">
      <c r="A698" s="16"/>
      <c r="B698" s="1">
        <v>697</v>
      </c>
      <c r="C698" s="1" t="s">
        <v>179</v>
      </c>
      <c r="D698" s="1">
        <v>55527384</v>
      </c>
      <c r="E698" s="1" t="s">
        <v>1182</v>
      </c>
      <c r="F698" s="1" t="s">
        <v>1292</v>
      </c>
      <c r="G698" s="1" t="s">
        <v>17</v>
      </c>
      <c r="H698" s="1" t="s">
        <v>18</v>
      </c>
      <c r="I698" s="1" t="s">
        <v>19</v>
      </c>
      <c r="J698" s="1" t="s">
        <v>20</v>
      </c>
      <c r="K698" s="2" t="s">
        <v>20</v>
      </c>
      <c r="L698" s="6">
        <v>47</v>
      </c>
      <c r="M698" s="2">
        <v>3.59</v>
      </c>
      <c r="N698" s="6" t="s">
        <v>21</v>
      </c>
      <c r="O698" s="2" t="s">
        <v>195</v>
      </c>
      <c r="P698" s="8">
        <v>160000</v>
      </c>
    </row>
    <row r="699" spans="1:16" x14ac:dyDescent="0.3">
      <c r="A699" s="16"/>
      <c r="B699" s="1">
        <v>698</v>
      </c>
      <c r="C699" s="1" t="s">
        <v>179</v>
      </c>
      <c r="D699" s="1">
        <v>55443579</v>
      </c>
      <c r="E699" s="1" t="s">
        <v>827</v>
      </c>
      <c r="F699" s="1" t="s">
        <v>828</v>
      </c>
      <c r="G699" s="1" t="s">
        <v>17</v>
      </c>
      <c r="H699" s="1" t="s">
        <v>25</v>
      </c>
      <c r="I699" s="1" t="s">
        <v>216</v>
      </c>
      <c r="J699" s="1" t="s">
        <v>20</v>
      </c>
      <c r="K699" s="2" t="s">
        <v>20</v>
      </c>
      <c r="L699" s="6">
        <v>49</v>
      </c>
      <c r="M699" s="2">
        <v>0.44</v>
      </c>
      <c r="N699" s="6" t="s">
        <v>21</v>
      </c>
      <c r="O699" s="2" t="s">
        <v>22</v>
      </c>
      <c r="P699" s="8">
        <v>19000</v>
      </c>
    </row>
    <row r="700" spans="1:16" x14ac:dyDescent="0.3">
      <c r="A700" s="16"/>
      <c r="B700" s="1">
        <v>699</v>
      </c>
      <c r="C700" s="1" t="s">
        <v>179</v>
      </c>
      <c r="D700" s="1">
        <v>54096609</v>
      </c>
      <c r="E700" s="1" t="s">
        <v>829</v>
      </c>
      <c r="F700" s="1" t="s">
        <v>830</v>
      </c>
      <c r="G700" s="1" t="s">
        <v>17</v>
      </c>
      <c r="H700" s="1" t="s">
        <v>25</v>
      </c>
      <c r="I700" s="1" t="s">
        <v>216</v>
      </c>
      <c r="J700" s="1" t="s">
        <v>1015</v>
      </c>
      <c r="K700" s="2" t="s">
        <v>1015</v>
      </c>
      <c r="L700" s="6">
        <v>79</v>
      </c>
      <c r="M700" s="2">
        <v>3.19</v>
      </c>
      <c r="N700" s="6" t="s">
        <v>21</v>
      </c>
      <c r="O700" s="2" t="s">
        <v>22</v>
      </c>
      <c r="P700" s="8">
        <v>80000</v>
      </c>
    </row>
    <row r="701" spans="1:16" x14ac:dyDescent="0.3">
      <c r="A701" s="16"/>
      <c r="B701" s="1">
        <v>700</v>
      </c>
      <c r="C701" s="1" t="s">
        <v>179</v>
      </c>
      <c r="D701" s="1">
        <v>54658752</v>
      </c>
      <c r="E701" s="1" t="s">
        <v>1183</v>
      </c>
      <c r="F701" s="1" t="s">
        <v>831</v>
      </c>
      <c r="G701" s="1" t="s">
        <v>88</v>
      </c>
      <c r="H701" s="1" t="s">
        <v>25</v>
      </c>
      <c r="I701" s="1" t="s">
        <v>184</v>
      </c>
      <c r="J701" s="1" t="s">
        <v>1015</v>
      </c>
      <c r="K701" s="2" t="s">
        <v>1015</v>
      </c>
      <c r="L701" s="6">
        <v>80</v>
      </c>
      <c r="M701" s="2">
        <v>3.13</v>
      </c>
      <c r="N701" s="6" t="s">
        <v>36</v>
      </c>
      <c r="O701" s="2" t="s">
        <v>22</v>
      </c>
      <c r="P701" s="8">
        <v>138000</v>
      </c>
    </row>
    <row r="702" spans="1:16" x14ac:dyDescent="0.3">
      <c r="A702" s="16"/>
      <c r="B702" s="1">
        <v>701</v>
      </c>
      <c r="C702" s="1" t="s">
        <v>179</v>
      </c>
      <c r="D702" s="1">
        <v>55165444</v>
      </c>
      <c r="E702" s="1" t="s">
        <v>1184</v>
      </c>
      <c r="F702" s="1" t="s">
        <v>24</v>
      </c>
      <c r="G702" s="1" t="s">
        <v>17</v>
      </c>
      <c r="H702" s="1" t="s">
        <v>18</v>
      </c>
      <c r="I702" s="1" t="s">
        <v>19</v>
      </c>
      <c r="J702" s="1" t="s">
        <v>20</v>
      </c>
      <c r="K702" s="2" t="s">
        <v>20</v>
      </c>
      <c r="L702" s="6">
        <v>47</v>
      </c>
      <c r="M702" s="2">
        <v>0.63</v>
      </c>
      <c r="N702" s="6" t="s">
        <v>21</v>
      </c>
      <c r="O702" s="2" t="s">
        <v>41</v>
      </c>
      <c r="P702" s="8">
        <v>28000</v>
      </c>
    </row>
    <row r="703" spans="1:16" x14ac:dyDescent="0.3">
      <c r="A703" s="16"/>
      <c r="B703" s="1">
        <v>702</v>
      </c>
      <c r="C703" s="1" t="s">
        <v>179</v>
      </c>
      <c r="D703" s="1">
        <v>811347928</v>
      </c>
      <c r="E703" s="1" t="s">
        <v>832</v>
      </c>
      <c r="F703" s="1" t="s">
        <v>833</v>
      </c>
      <c r="G703" s="1" t="s">
        <v>17</v>
      </c>
      <c r="H703" s="1" t="s">
        <v>18</v>
      </c>
      <c r="I703" s="1" t="s">
        <v>19</v>
      </c>
      <c r="J703" s="1" t="s">
        <v>20</v>
      </c>
      <c r="K703" s="2" t="s">
        <v>20</v>
      </c>
      <c r="L703" s="6">
        <v>84</v>
      </c>
      <c r="M703" s="2">
        <v>1.29</v>
      </c>
      <c r="N703" s="6" t="s">
        <v>21</v>
      </c>
      <c r="O703" s="2" t="s">
        <v>41</v>
      </c>
      <c r="P703" s="8">
        <v>50000</v>
      </c>
    </row>
    <row r="704" spans="1:16" x14ac:dyDescent="0.3">
      <c r="A704" s="16"/>
      <c r="B704" s="1">
        <v>703</v>
      </c>
      <c r="C704" s="1" t="s">
        <v>179</v>
      </c>
      <c r="D704" s="1">
        <v>55943598</v>
      </c>
      <c r="E704" s="1" t="s">
        <v>834</v>
      </c>
      <c r="F704" s="1" t="s">
        <v>835</v>
      </c>
      <c r="G704" s="1" t="s">
        <v>17</v>
      </c>
      <c r="H704" s="1" t="s">
        <v>18</v>
      </c>
      <c r="I704" s="1" t="s">
        <v>30</v>
      </c>
      <c r="J704" s="1" t="s">
        <v>1015</v>
      </c>
      <c r="K704" s="2" t="s">
        <v>1015</v>
      </c>
      <c r="L704" s="6">
        <v>38</v>
      </c>
      <c r="M704" s="2">
        <v>0</v>
      </c>
      <c r="N704" s="6" t="s">
        <v>31</v>
      </c>
      <c r="O704" s="2" t="s">
        <v>32</v>
      </c>
      <c r="P704" s="8">
        <v>0</v>
      </c>
    </row>
    <row r="705" spans="1:16" x14ac:dyDescent="0.3">
      <c r="A705" s="16"/>
      <c r="B705" s="1">
        <v>704</v>
      </c>
      <c r="C705" s="1" t="s">
        <v>179</v>
      </c>
      <c r="D705" s="1">
        <v>55453406</v>
      </c>
      <c r="E705" s="1" t="s">
        <v>836</v>
      </c>
      <c r="F705" s="1" t="s">
        <v>569</v>
      </c>
      <c r="G705" s="1" t="s">
        <v>17</v>
      </c>
      <c r="H705" s="1" t="s">
        <v>18</v>
      </c>
      <c r="I705" s="1" t="s">
        <v>19</v>
      </c>
      <c r="J705" s="1" t="s">
        <v>20</v>
      </c>
      <c r="K705" s="2" t="s">
        <v>20</v>
      </c>
      <c r="L705" s="6">
        <v>30</v>
      </c>
      <c r="M705" s="2">
        <v>1.27</v>
      </c>
      <c r="N705" s="6" t="s">
        <v>36</v>
      </c>
      <c r="O705" s="2" t="s">
        <v>74</v>
      </c>
      <c r="P705" s="8">
        <v>108000</v>
      </c>
    </row>
    <row r="706" spans="1:16" x14ac:dyDescent="0.3">
      <c r="A706" s="16"/>
      <c r="B706" s="1">
        <v>705</v>
      </c>
      <c r="C706" s="1" t="s">
        <v>179</v>
      </c>
      <c r="D706" s="1">
        <v>55444563</v>
      </c>
      <c r="E706" s="1" t="s">
        <v>837</v>
      </c>
      <c r="F706" s="1" t="s">
        <v>838</v>
      </c>
      <c r="G706" s="1" t="s">
        <v>17</v>
      </c>
      <c r="H706" s="1" t="s">
        <v>18</v>
      </c>
      <c r="I706" s="1" t="s">
        <v>19</v>
      </c>
      <c r="J706" s="1" t="s">
        <v>20</v>
      </c>
      <c r="K706" s="2" t="s">
        <v>20</v>
      </c>
      <c r="L706" s="6">
        <v>84</v>
      </c>
      <c r="M706" s="2">
        <v>4.13</v>
      </c>
      <c r="N706" s="6" t="s">
        <v>21</v>
      </c>
      <c r="O706" s="2" t="s">
        <v>22</v>
      </c>
      <c r="P706" s="8">
        <v>97000</v>
      </c>
    </row>
    <row r="707" spans="1:16" x14ac:dyDescent="0.3">
      <c r="A707" s="16"/>
      <c r="B707" s="1">
        <v>706</v>
      </c>
      <c r="C707" s="1" t="s">
        <v>179</v>
      </c>
      <c r="D707" s="1">
        <v>55472532</v>
      </c>
      <c r="E707" s="1" t="s">
        <v>839</v>
      </c>
      <c r="F707" s="1" t="s">
        <v>840</v>
      </c>
      <c r="G707" s="1" t="s">
        <v>17</v>
      </c>
      <c r="H707" s="1" t="s">
        <v>18</v>
      </c>
      <c r="I707" s="1" t="s">
        <v>30</v>
      </c>
      <c r="J707" s="1" t="s">
        <v>20</v>
      </c>
      <c r="K707" s="2" t="s">
        <v>20</v>
      </c>
      <c r="L707" s="6">
        <v>51</v>
      </c>
      <c r="M707" s="2">
        <v>0</v>
      </c>
      <c r="N707" s="6" t="s">
        <v>31</v>
      </c>
      <c r="O707" s="2" t="s">
        <v>32</v>
      </c>
      <c r="P707" s="8">
        <v>0</v>
      </c>
    </row>
    <row r="708" spans="1:16" x14ac:dyDescent="0.3">
      <c r="A708" s="16"/>
      <c r="B708" s="1">
        <v>707</v>
      </c>
      <c r="C708" s="1" t="s">
        <v>179</v>
      </c>
      <c r="D708" s="1">
        <v>55512713</v>
      </c>
      <c r="E708" s="1" t="s">
        <v>841</v>
      </c>
      <c r="F708" s="1" t="s">
        <v>313</v>
      </c>
      <c r="G708" s="1" t="s">
        <v>17</v>
      </c>
      <c r="H708" s="1" t="s">
        <v>25</v>
      </c>
      <c r="I708" s="1" t="s">
        <v>216</v>
      </c>
      <c r="J708" s="1" t="s">
        <v>20</v>
      </c>
      <c r="K708" s="2" t="s">
        <v>20</v>
      </c>
      <c r="L708" s="6">
        <v>83</v>
      </c>
      <c r="M708" s="2">
        <v>0.48</v>
      </c>
      <c r="N708" s="6" t="s">
        <v>21</v>
      </c>
      <c r="O708" s="2" t="s">
        <v>74</v>
      </c>
      <c r="P708" s="8">
        <v>18000</v>
      </c>
    </row>
    <row r="709" spans="1:16" x14ac:dyDescent="0.3">
      <c r="A709" s="16"/>
      <c r="B709" s="1">
        <v>708</v>
      </c>
      <c r="C709" s="1" t="s">
        <v>179</v>
      </c>
      <c r="D709" s="1">
        <v>55528014</v>
      </c>
      <c r="E709" s="1" t="s">
        <v>842</v>
      </c>
      <c r="F709" s="1" t="s">
        <v>843</v>
      </c>
      <c r="G709" s="1" t="s">
        <v>17</v>
      </c>
      <c r="H709" s="1" t="s">
        <v>18</v>
      </c>
      <c r="I709" s="1" t="s">
        <v>19</v>
      </c>
      <c r="J709" s="1" t="s">
        <v>20</v>
      </c>
      <c r="K709" s="2" t="s">
        <v>20</v>
      </c>
      <c r="L709" s="6">
        <v>44</v>
      </c>
      <c r="M709" s="2">
        <v>3.44</v>
      </c>
      <c r="N709" s="6" t="s">
        <v>21</v>
      </c>
      <c r="O709" s="2" t="s">
        <v>22</v>
      </c>
      <c r="P709" s="8">
        <v>198000</v>
      </c>
    </row>
    <row r="710" spans="1:16" x14ac:dyDescent="0.3">
      <c r="A710" s="16"/>
      <c r="B710" s="1">
        <v>709</v>
      </c>
      <c r="C710" s="1" t="s">
        <v>179</v>
      </c>
      <c r="D710" s="1">
        <v>811303417</v>
      </c>
      <c r="E710" s="1" t="s">
        <v>1185</v>
      </c>
      <c r="F710" s="1" t="s">
        <v>944</v>
      </c>
      <c r="G710" s="1" t="s">
        <v>17</v>
      </c>
      <c r="H710" s="1" t="s">
        <v>25</v>
      </c>
      <c r="I710" s="1" t="s">
        <v>216</v>
      </c>
      <c r="J710" s="1" t="s">
        <v>20</v>
      </c>
      <c r="K710" s="2" t="s">
        <v>20</v>
      </c>
      <c r="L710" s="6">
        <v>55</v>
      </c>
      <c r="M710" s="2">
        <v>1.17</v>
      </c>
      <c r="N710" s="6" t="s">
        <v>21</v>
      </c>
      <c r="O710" s="2" t="s">
        <v>22</v>
      </c>
      <c r="P710" s="8">
        <v>53000</v>
      </c>
    </row>
    <row r="711" spans="1:16" x14ac:dyDescent="0.3">
      <c r="A711" s="16"/>
      <c r="B711" s="1">
        <v>710</v>
      </c>
      <c r="C711" s="1" t="s">
        <v>179</v>
      </c>
      <c r="D711" s="1">
        <v>54655129</v>
      </c>
      <c r="E711" s="1" t="s">
        <v>1186</v>
      </c>
      <c r="F711" s="1" t="s">
        <v>605</v>
      </c>
      <c r="G711" s="1" t="s">
        <v>17</v>
      </c>
      <c r="H711" s="1" t="s">
        <v>25</v>
      </c>
      <c r="I711" s="1" t="s">
        <v>184</v>
      </c>
      <c r="J711" s="1" t="s">
        <v>1015</v>
      </c>
      <c r="K711" s="2" t="s">
        <v>1015</v>
      </c>
      <c r="L711" s="6">
        <v>55</v>
      </c>
      <c r="M711" s="2">
        <v>0.96</v>
      </c>
      <c r="N711" s="6" t="s">
        <v>21</v>
      </c>
      <c r="O711" s="2" t="s">
        <v>41</v>
      </c>
      <c r="P711" s="8">
        <v>46000</v>
      </c>
    </row>
    <row r="712" spans="1:16" x14ac:dyDescent="0.3">
      <c r="A712" s="16"/>
      <c r="B712" s="1">
        <v>711</v>
      </c>
      <c r="C712" s="1" t="s">
        <v>179</v>
      </c>
      <c r="D712" s="1">
        <v>811325758</v>
      </c>
      <c r="E712" s="1" t="s">
        <v>844</v>
      </c>
      <c r="F712" s="1" t="s">
        <v>845</v>
      </c>
      <c r="G712" s="1" t="s">
        <v>17</v>
      </c>
      <c r="H712" s="1" t="s">
        <v>18</v>
      </c>
      <c r="I712" s="1" t="s">
        <v>19</v>
      </c>
      <c r="J712" s="1" t="s">
        <v>20</v>
      </c>
      <c r="K712" s="2" t="s">
        <v>20</v>
      </c>
      <c r="L712" s="6">
        <v>49</v>
      </c>
      <c r="M712" s="2">
        <v>1.29</v>
      </c>
      <c r="N712" s="6" t="s">
        <v>21</v>
      </c>
      <c r="O712" s="2" t="s">
        <v>74</v>
      </c>
      <c r="P712" s="8">
        <v>120000</v>
      </c>
    </row>
    <row r="713" spans="1:16" x14ac:dyDescent="0.3">
      <c r="A713" s="16"/>
      <c r="B713" s="1">
        <v>712</v>
      </c>
      <c r="C713" s="1" t="s">
        <v>179</v>
      </c>
      <c r="D713" s="1">
        <v>55118910</v>
      </c>
      <c r="E713" s="1" t="s">
        <v>846</v>
      </c>
      <c r="F713" s="1" t="s">
        <v>847</v>
      </c>
      <c r="G713" s="1" t="s">
        <v>17</v>
      </c>
      <c r="H713" s="1" t="s">
        <v>18</v>
      </c>
      <c r="I713" s="1" t="s">
        <v>19</v>
      </c>
      <c r="J713" s="1" t="s">
        <v>20</v>
      </c>
      <c r="K713" s="2" t="s">
        <v>20</v>
      </c>
      <c r="L713" s="6">
        <v>53</v>
      </c>
      <c r="M713" s="2">
        <v>0.88</v>
      </c>
      <c r="N713" s="6" t="s">
        <v>21</v>
      </c>
      <c r="O713" s="2" t="s">
        <v>27</v>
      </c>
      <c r="P713" s="8">
        <v>23000</v>
      </c>
    </row>
    <row r="714" spans="1:16" x14ac:dyDescent="0.3">
      <c r="A714" s="16"/>
      <c r="B714" s="1">
        <v>713</v>
      </c>
      <c r="C714" s="1" t="s">
        <v>179</v>
      </c>
      <c r="D714" s="1">
        <v>55148559</v>
      </c>
      <c r="E714" s="1" t="s">
        <v>1187</v>
      </c>
      <c r="F714" s="1" t="s">
        <v>1293</v>
      </c>
      <c r="G714" s="1" t="s">
        <v>17</v>
      </c>
      <c r="H714" s="1" t="s">
        <v>18</v>
      </c>
      <c r="I714" s="1" t="s">
        <v>19</v>
      </c>
      <c r="J714" s="1" t="s">
        <v>20</v>
      </c>
      <c r="K714" s="2" t="s">
        <v>20</v>
      </c>
      <c r="L714" s="6">
        <v>57</v>
      </c>
      <c r="M714" s="2">
        <v>2.89</v>
      </c>
      <c r="N714" s="6" t="s">
        <v>21</v>
      </c>
      <c r="O714" s="2" t="s">
        <v>22</v>
      </c>
      <c r="P714" s="8">
        <v>160000</v>
      </c>
    </row>
    <row r="715" spans="1:16" x14ac:dyDescent="0.3">
      <c r="A715" s="16"/>
      <c r="B715" s="1">
        <v>714</v>
      </c>
      <c r="C715" s="1" t="s">
        <v>179</v>
      </c>
      <c r="D715" s="1">
        <v>55127957</v>
      </c>
      <c r="E715" s="1" t="s">
        <v>848</v>
      </c>
      <c r="F715" s="1" t="s">
        <v>849</v>
      </c>
      <c r="G715" s="1" t="s">
        <v>17</v>
      </c>
      <c r="H715" s="1" t="s">
        <v>25</v>
      </c>
      <c r="I715" s="1" t="s">
        <v>184</v>
      </c>
      <c r="J715" s="1" t="s">
        <v>20</v>
      </c>
      <c r="K715" s="2" t="s">
        <v>20</v>
      </c>
      <c r="L715" s="6">
        <v>58</v>
      </c>
      <c r="M715" s="2">
        <v>6.23</v>
      </c>
      <c r="N715" s="6" t="s">
        <v>36</v>
      </c>
      <c r="O715" s="2" t="s">
        <v>22</v>
      </c>
      <c r="P715" s="8">
        <v>195000</v>
      </c>
    </row>
    <row r="716" spans="1:16" x14ac:dyDescent="0.3">
      <c r="A716" s="16"/>
      <c r="B716" s="1">
        <v>715</v>
      </c>
      <c r="C716" s="1" t="s">
        <v>179</v>
      </c>
      <c r="D716" s="1">
        <v>811301893</v>
      </c>
      <c r="E716" s="1" t="s">
        <v>1188</v>
      </c>
      <c r="F716" s="1" t="s">
        <v>1294</v>
      </c>
      <c r="G716" s="1" t="s">
        <v>17</v>
      </c>
      <c r="H716" s="1" t="s">
        <v>25</v>
      </c>
      <c r="I716" s="1" t="s">
        <v>216</v>
      </c>
      <c r="J716" s="1" t="s">
        <v>20</v>
      </c>
      <c r="K716" s="2" t="s">
        <v>20</v>
      </c>
      <c r="L716" s="6">
        <v>62</v>
      </c>
      <c r="M716" s="2">
        <v>3.61</v>
      </c>
      <c r="N716" s="6" t="s">
        <v>21</v>
      </c>
      <c r="O716" s="2" t="s">
        <v>55</v>
      </c>
      <c r="P716" s="8">
        <v>70000</v>
      </c>
    </row>
    <row r="717" spans="1:16" x14ac:dyDescent="0.3">
      <c r="A717" s="16"/>
      <c r="B717" s="1">
        <v>716</v>
      </c>
      <c r="C717" s="1" t="s">
        <v>179</v>
      </c>
      <c r="D717" s="1">
        <v>54147724</v>
      </c>
      <c r="E717" s="1" t="s">
        <v>850</v>
      </c>
      <c r="F717" s="1" t="s">
        <v>659</v>
      </c>
      <c r="G717" s="1" t="s">
        <v>17</v>
      </c>
      <c r="H717" s="1" t="s">
        <v>18</v>
      </c>
      <c r="I717" s="1" t="s">
        <v>19</v>
      </c>
      <c r="J717" s="1" t="s">
        <v>20</v>
      </c>
      <c r="K717" s="2" t="s">
        <v>20</v>
      </c>
      <c r="L717" s="6">
        <v>61</v>
      </c>
      <c r="M717" s="2">
        <v>4.37</v>
      </c>
      <c r="N717" s="6" t="s">
        <v>21</v>
      </c>
      <c r="O717" s="2" t="s">
        <v>59</v>
      </c>
      <c r="P717" s="8">
        <v>88000</v>
      </c>
    </row>
    <row r="718" spans="1:16" x14ac:dyDescent="0.3">
      <c r="A718" s="16"/>
      <c r="B718" s="1">
        <v>717</v>
      </c>
      <c r="C718" s="1" t="s">
        <v>179</v>
      </c>
      <c r="D718" s="1">
        <v>55962965</v>
      </c>
      <c r="E718" s="1" t="s">
        <v>851</v>
      </c>
      <c r="F718" s="1" t="s">
        <v>852</v>
      </c>
      <c r="G718" s="1" t="s">
        <v>17</v>
      </c>
      <c r="H718" s="1" t="s">
        <v>18</v>
      </c>
      <c r="I718" s="1" t="s">
        <v>19</v>
      </c>
      <c r="J718" s="1" t="s">
        <v>20</v>
      </c>
      <c r="K718" s="2" t="s">
        <v>20</v>
      </c>
      <c r="L718" s="6">
        <v>49</v>
      </c>
      <c r="M718" s="2">
        <v>0.46</v>
      </c>
      <c r="N718" s="6" t="s">
        <v>21</v>
      </c>
      <c r="O718" s="2" t="s">
        <v>41</v>
      </c>
      <c r="P718" s="8">
        <v>20000</v>
      </c>
    </row>
    <row r="719" spans="1:16" x14ac:dyDescent="0.3">
      <c r="A719" s="16"/>
      <c r="B719" s="1">
        <v>718</v>
      </c>
      <c r="C719" s="1" t="s">
        <v>179</v>
      </c>
      <c r="D719" s="1">
        <v>55940554</v>
      </c>
      <c r="E719" s="1" t="s">
        <v>1189</v>
      </c>
      <c r="F719" s="1" t="s">
        <v>306</v>
      </c>
      <c r="G719" s="1" t="s">
        <v>17</v>
      </c>
      <c r="H719" s="1" t="s">
        <v>18</v>
      </c>
      <c r="I719" s="1" t="s">
        <v>19</v>
      </c>
      <c r="J719" s="1" t="s">
        <v>20</v>
      </c>
      <c r="K719" s="2" t="s">
        <v>20</v>
      </c>
      <c r="L719" s="6">
        <v>79</v>
      </c>
      <c r="M719" s="2">
        <v>2.4300000000000002</v>
      </c>
      <c r="N719" s="6" t="s">
        <v>21</v>
      </c>
      <c r="O719" s="2" t="s">
        <v>22</v>
      </c>
      <c r="P719" s="8">
        <v>62000</v>
      </c>
    </row>
    <row r="720" spans="1:16" x14ac:dyDescent="0.3">
      <c r="A720" s="16"/>
      <c r="B720" s="1">
        <v>719</v>
      </c>
      <c r="C720" s="1" t="s">
        <v>179</v>
      </c>
      <c r="D720" s="1">
        <v>55559550</v>
      </c>
      <c r="E720" s="1" t="s">
        <v>853</v>
      </c>
      <c r="F720" s="1" t="s">
        <v>854</v>
      </c>
      <c r="G720" s="1" t="s">
        <v>17</v>
      </c>
      <c r="H720" s="1" t="s">
        <v>25</v>
      </c>
      <c r="I720" s="1" t="s">
        <v>26</v>
      </c>
      <c r="J720" s="1" t="s">
        <v>1015</v>
      </c>
      <c r="K720" s="2" t="s">
        <v>1015</v>
      </c>
      <c r="L720" s="6">
        <v>53</v>
      </c>
      <c r="M720" s="2">
        <v>3.31</v>
      </c>
      <c r="N720" s="6" t="s">
        <v>21</v>
      </c>
      <c r="O720" s="2" t="s">
        <v>41</v>
      </c>
      <c r="P720" s="8">
        <v>87000</v>
      </c>
    </row>
    <row r="721" spans="1:16" x14ac:dyDescent="0.3">
      <c r="A721" s="16"/>
      <c r="B721" s="1">
        <v>720</v>
      </c>
      <c r="C721" s="1" t="s">
        <v>179</v>
      </c>
      <c r="D721" s="1">
        <v>55441560</v>
      </c>
      <c r="E721" s="1" t="s">
        <v>855</v>
      </c>
      <c r="F721" s="1" t="s">
        <v>856</v>
      </c>
      <c r="G721" s="1" t="s">
        <v>17</v>
      </c>
      <c r="H721" s="1" t="s">
        <v>18</v>
      </c>
      <c r="I721" s="1" t="s">
        <v>19</v>
      </c>
      <c r="J721" s="1" t="s">
        <v>20</v>
      </c>
      <c r="K721" s="2" t="s">
        <v>20</v>
      </c>
      <c r="L721" s="6">
        <v>30</v>
      </c>
      <c r="M721" s="2">
        <v>2.99</v>
      </c>
      <c r="N721" s="6" t="s">
        <v>21</v>
      </c>
      <c r="O721" s="2" t="s">
        <v>55</v>
      </c>
      <c r="P721" s="8">
        <v>82000</v>
      </c>
    </row>
    <row r="722" spans="1:16" x14ac:dyDescent="0.3">
      <c r="A722" s="16"/>
      <c r="B722" s="1">
        <v>721</v>
      </c>
      <c r="C722" s="1" t="s">
        <v>179</v>
      </c>
      <c r="D722" s="1">
        <v>55116878</v>
      </c>
      <c r="E722" s="1" t="s">
        <v>1190</v>
      </c>
      <c r="F722" s="1" t="s">
        <v>1295</v>
      </c>
      <c r="G722" s="1" t="s">
        <v>17</v>
      </c>
      <c r="H722" s="1" t="s">
        <v>18</v>
      </c>
      <c r="I722" s="1" t="s">
        <v>30</v>
      </c>
      <c r="J722" s="1" t="s">
        <v>20</v>
      </c>
      <c r="K722" s="2" t="s">
        <v>20</v>
      </c>
      <c r="L722" s="6">
        <v>47</v>
      </c>
      <c r="M722" s="2">
        <v>0</v>
      </c>
      <c r="N722" s="6" t="s">
        <v>31</v>
      </c>
      <c r="O722" s="2" t="s">
        <v>32</v>
      </c>
      <c r="P722" s="8">
        <v>0</v>
      </c>
    </row>
    <row r="723" spans="1:16" x14ac:dyDescent="0.3">
      <c r="A723" s="16"/>
      <c r="B723" s="1">
        <v>722</v>
      </c>
      <c r="C723" s="1" t="s">
        <v>179</v>
      </c>
      <c r="D723" s="1">
        <v>55115263</v>
      </c>
      <c r="E723" s="1" t="s">
        <v>857</v>
      </c>
      <c r="F723" s="1" t="s">
        <v>858</v>
      </c>
      <c r="G723" s="1" t="s">
        <v>17</v>
      </c>
      <c r="H723" s="1" t="s">
        <v>18</v>
      </c>
      <c r="I723" s="1" t="s">
        <v>30</v>
      </c>
      <c r="J723" s="1" t="s">
        <v>20</v>
      </c>
      <c r="K723" s="2" t="s">
        <v>20</v>
      </c>
      <c r="L723" s="6">
        <v>77</v>
      </c>
      <c r="M723" s="2">
        <v>0</v>
      </c>
      <c r="N723" s="6" t="s">
        <v>31</v>
      </c>
      <c r="O723" s="2" t="s">
        <v>32</v>
      </c>
      <c r="P723" s="8">
        <v>0</v>
      </c>
    </row>
    <row r="724" spans="1:16" x14ac:dyDescent="0.3">
      <c r="A724" s="16"/>
      <c r="B724" s="1">
        <v>723</v>
      </c>
      <c r="C724" s="1" t="s">
        <v>179</v>
      </c>
      <c r="D724" s="1">
        <v>55149445</v>
      </c>
      <c r="E724" s="1" t="s">
        <v>859</v>
      </c>
      <c r="F724" s="1" t="s">
        <v>860</v>
      </c>
      <c r="G724" s="1" t="s">
        <v>17</v>
      </c>
      <c r="H724" s="1" t="s">
        <v>18</v>
      </c>
      <c r="I724" s="1" t="s">
        <v>120</v>
      </c>
      <c r="J724" s="1" t="s">
        <v>20</v>
      </c>
      <c r="K724" s="2" t="s">
        <v>20</v>
      </c>
      <c r="L724" s="6">
        <v>60</v>
      </c>
      <c r="M724" s="2">
        <v>1.52</v>
      </c>
      <c r="N724" s="6" t="s">
        <v>21</v>
      </c>
      <c r="O724" s="2" t="s">
        <v>27</v>
      </c>
      <c r="P724" s="8">
        <v>44000</v>
      </c>
    </row>
    <row r="725" spans="1:16" x14ac:dyDescent="0.3">
      <c r="A725" s="16"/>
      <c r="B725" s="1">
        <v>724</v>
      </c>
      <c r="C725" s="1" t="s">
        <v>179</v>
      </c>
      <c r="D725" s="1">
        <v>54157081</v>
      </c>
      <c r="E725" s="1" t="s">
        <v>861</v>
      </c>
      <c r="F725" s="1" t="s">
        <v>862</v>
      </c>
      <c r="G725" s="1" t="s">
        <v>17</v>
      </c>
      <c r="H725" s="1" t="s">
        <v>18</v>
      </c>
      <c r="I725" s="1" t="s">
        <v>19</v>
      </c>
      <c r="J725" s="1" t="s">
        <v>20</v>
      </c>
      <c r="K725" s="2" t="s">
        <v>20</v>
      </c>
      <c r="L725" s="6">
        <v>32</v>
      </c>
      <c r="M725" s="2">
        <v>1.28</v>
      </c>
      <c r="N725" s="6" t="s">
        <v>21</v>
      </c>
      <c r="O725" s="2" t="s">
        <v>22</v>
      </c>
      <c r="P725" s="8">
        <v>55000</v>
      </c>
    </row>
    <row r="726" spans="1:16" x14ac:dyDescent="0.3">
      <c r="A726" s="16"/>
      <c r="B726" s="1">
        <v>725</v>
      </c>
      <c r="C726" s="1" t="s">
        <v>179</v>
      </c>
      <c r="D726" s="1">
        <v>55590588</v>
      </c>
      <c r="E726" s="1" t="s">
        <v>863</v>
      </c>
      <c r="F726" s="1" t="s">
        <v>864</v>
      </c>
      <c r="G726" s="1" t="s">
        <v>17</v>
      </c>
      <c r="H726" s="1" t="s">
        <v>18</v>
      </c>
      <c r="I726" s="1" t="s">
        <v>19</v>
      </c>
      <c r="J726" s="1" t="s">
        <v>20</v>
      </c>
      <c r="K726" s="2" t="s">
        <v>20</v>
      </c>
      <c r="L726" s="6">
        <v>71</v>
      </c>
      <c r="M726" s="2">
        <v>2.5299999999999998</v>
      </c>
      <c r="N726" s="6" t="s">
        <v>21</v>
      </c>
      <c r="O726" s="2" t="s">
        <v>22</v>
      </c>
      <c r="P726" s="8">
        <v>112000</v>
      </c>
    </row>
    <row r="727" spans="1:16" x14ac:dyDescent="0.3">
      <c r="A727" s="16"/>
      <c r="B727" s="1">
        <v>726</v>
      </c>
      <c r="C727" s="1" t="s">
        <v>179</v>
      </c>
      <c r="D727" s="1">
        <v>811302011</v>
      </c>
      <c r="E727" s="1" t="s">
        <v>1191</v>
      </c>
      <c r="F727" s="1" t="s">
        <v>1296</v>
      </c>
      <c r="G727" s="1" t="s">
        <v>88</v>
      </c>
      <c r="H727" s="1" t="s">
        <v>25</v>
      </c>
      <c r="I727" s="1" t="s">
        <v>216</v>
      </c>
      <c r="J727" s="1" t="s">
        <v>20</v>
      </c>
      <c r="K727" s="2" t="s">
        <v>20</v>
      </c>
      <c r="L727" s="6">
        <v>36</v>
      </c>
      <c r="M727" s="2">
        <v>0.31</v>
      </c>
      <c r="N727" s="6" t="s">
        <v>21</v>
      </c>
      <c r="O727" s="2" t="s">
        <v>27</v>
      </c>
      <c r="P727" s="8">
        <v>9000</v>
      </c>
    </row>
    <row r="728" spans="1:16" x14ac:dyDescent="0.3">
      <c r="A728" s="16"/>
      <c r="B728" s="1">
        <v>727</v>
      </c>
      <c r="C728" s="1" t="s">
        <v>179</v>
      </c>
      <c r="D728" s="1">
        <v>1950668922</v>
      </c>
      <c r="E728" s="1" t="s">
        <v>1079</v>
      </c>
      <c r="F728" s="1" t="s">
        <v>1247</v>
      </c>
      <c r="G728" s="1" t="s">
        <v>17</v>
      </c>
      <c r="H728" s="1" t="s">
        <v>25</v>
      </c>
      <c r="I728" s="1" t="s">
        <v>216</v>
      </c>
      <c r="J728" s="1" t="s">
        <v>20</v>
      </c>
      <c r="K728" s="2" t="s">
        <v>1015</v>
      </c>
      <c r="L728" s="6">
        <v>34</v>
      </c>
      <c r="M728" s="2">
        <v>0.32</v>
      </c>
      <c r="N728" s="6" t="s">
        <v>21</v>
      </c>
      <c r="O728" s="2" t="s">
        <v>22</v>
      </c>
      <c r="P728" s="8">
        <v>13000</v>
      </c>
    </row>
    <row r="729" spans="1:16" x14ac:dyDescent="0.3">
      <c r="A729" s="16"/>
      <c r="B729" s="1">
        <v>728</v>
      </c>
      <c r="C729" s="1" t="s">
        <v>179</v>
      </c>
      <c r="D729" s="1">
        <v>55605027</v>
      </c>
      <c r="E729" s="1" t="s">
        <v>1192</v>
      </c>
      <c r="F729" s="1" t="s">
        <v>1214</v>
      </c>
      <c r="G729" s="1" t="s">
        <v>17</v>
      </c>
      <c r="H729" s="1" t="s">
        <v>18</v>
      </c>
      <c r="I729" s="1" t="s">
        <v>19</v>
      </c>
      <c r="J729" s="1" t="s">
        <v>20</v>
      </c>
      <c r="K729" s="2" t="s">
        <v>20</v>
      </c>
      <c r="L729" s="6">
        <v>76</v>
      </c>
      <c r="M729" s="2">
        <v>1.85</v>
      </c>
      <c r="N729" s="6" t="s">
        <v>21</v>
      </c>
      <c r="O729" s="2" t="s">
        <v>27</v>
      </c>
      <c r="P729" s="8">
        <v>91000</v>
      </c>
    </row>
    <row r="730" spans="1:16" x14ac:dyDescent="0.3">
      <c r="A730" s="16"/>
      <c r="B730" s="1">
        <v>729</v>
      </c>
      <c r="C730" s="1" t="s">
        <v>179</v>
      </c>
      <c r="D730" s="1">
        <v>55160866</v>
      </c>
      <c r="E730" s="1" t="s">
        <v>865</v>
      </c>
      <c r="F730" s="1" t="s">
        <v>866</v>
      </c>
      <c r="G730" s="1" t="s">
        <v>17</v>
      </c>
      <c r="H730" s="1" t="s">
        <v>25</v>
      </c>
      <c r="I730" s="1" t="s">
        <v>184</v>
      </c>
      <c r="J730" s="1" t="s">
        <v>1015</v>
      </c>
      <c r="K730" s="2" t="s">
        <v>1015</v>
      </c>
      <c r="L730" s="6">
        <v>67</v>
      </c>
      <c r="M730" s="2">
        <v>1.63</v>
      </c>
      <c r="N730" s="6" t="s">
        <v>58</v>
      </c>
      <c r="O730" s="2" t="s">
        <v>41</v>
      </c>
      <c r="P730" s="8">
        <v>37000</v>
      </c>
    </row>
    <row r="731" spans="1:16" x14ac:dyDescent="0.3">
      <c r="A731" s="16"/>
      <c r="B731" s="1">
        <v>730</v>
      </c>
      <c r="C731" s="1" t="s">
        <v>179</v>
      </c>
      <c r="D731" s="1">
        <v>811348143</v>
      </c>
      <c r="E731" s="1" t="s">
        <v>867</v>
      </c>
      <c r="F731" s="1" t="s">
        <v>868</v>
      </c>
      <c r="G731" s="1" t="s">
        <v>17</v>
      </c>
      <c r="H731" s="1" t="s">
        <v>18</v>
      </c>
      <c r="I731" s="1" t="s">
        <v>30</v>
      </c>
      <c r="J731" s="1" t="s">
        <v>20</v>
      </c>
      <c r="K731" s="2" t="s">
        <v>20</v>
      </c>
      <c r="L731" s="6">
        <v>45</v>
      </c>
      <c r="M731" s="2">
        <v>0</v>
      </c>
      <c r="N731" s="6" t="s">
        <v>31</v>
      </c>
      <c r="O731" s="2" t="s">
        <v>32</v>
      </c>
      <c r="P731" s="8">
        <v>0</v>
      </c>
    </row>
    <row r="732" spans="1:16" x14ac:dyDescent="0.3">
      <c r="A732" s="16"/>
      <c r="B732" s="1">
        <v>731</v>
      </c>
      <c r="C732" s="1" t="s">
        <v>179</v>
      </c>
      <c r="D732" s="1">
        <v>55450162</v>
      </c>
      <c r="E732" s="1" t="s">
        <v>869</v>
      </c>
      <c r="F732" s="1" t="s">
        <v>870</v>
      </c>
      <c r="G732" s="1" t="s">
        <v>17</v>
      </c>
      <c r="H732" s="1" t="s">
        <v>18</v>
      </c>
      <c r="I732" s="1" t="s">
        <v>30</v>
      </c>
      <c r="J732" s="1" t="s">
        <v>1015</v>
      </c>
      <c r="K732" s="2" t="s">
        <v>1015</v>
      </c>
      <c r="L732" s="6">
        <v>61</v>
      </c>
      <c r="M732" s="2">
        <v>0</v>
      </c>
      <c r="N732" s="6" t="s">
        <v>31</v>
      </c>
      <c r="O732" s="2" t="s">
        <v>32</v>
      </c>
      <c r="P732" s="8">
        <v>0</v>
      </c>
    </row>
    <row r="733" spans="1:16" x14ac:dyDescent="0.3">
      <c r="A733" s="16"/>
      <c r="B733" s="1">
        <v>732</v>
      </c>
      <c r="C733" s="1" t="s">
        <v>179</v>
      </c>
      <c r="D733" s="1">
        <v>55481211</v>
      </c>
      <c r="E733" s="1" t="s">
        <v>871</v>
      </c>
      <c r="F733" s="1" t="s">
        <v>872</v>
      </c>
      <c r="G733" s="1" t="s">
        <v>17</v>
      </c>
      <c r="H733" s="1" t="s">
        <v>18</v>
      </c>
      <c r="I733" s="1" t="s">
        <v>30</v>
      </c>
      <c r="J733" s="1" t="s">
        <v>20</v>
      </c>
      <c r="K733" s="2" t="s">
        <v>20</v>
      </c>
      <c r="L733" s="6">
        <v>32</v>
      </c>
      <c r="M733" s="2">
        <v>0</v>
      </c>
      <c r="N733" s="6" t="s">
        <v>31</v>
      </c>
      <c r="O733" s="2" t="s">
        <v>32</v>
      </c>
      <c r="P733" s="8">
        <v>0</v>
      </c>
    </row>
    <row r="734" spans="1:16" x14ac:dyDescent="0.3">
      <c r="A734" s="16"/>
      <c r="B734" s="1">
        <v>733</v>
      </c>
      <c r="C734" s="1" t="s">
        <v>179</v>
      </c>
      <c r="D734" s="1">
        <v>811302870</v>
      </c>
      <c r="E734" s="1" t="s">
        <v>873</v>
      </c>
      <c r="F734" s="1" t="s">
        <v>874</v>
      </c>
      <c r="G734" s="1" t="s">
        <v>17</v>
      </c>
      <c r="H734" s="1" t="s">
        <v>18</v>
      </c>
      <c r="I734" s="1" t="s">
        <v>30</v>
      </c>
      <c r="J734" s="1" t="s">
        <v>20</v>
      </c>
      <c r="K734" s="2" t="s">
        <v>20</v>
      </c>
      <c r="L734" s="6">
        <v>79</v>
      </c>
      <c r="M734" s="2">
        <v>0</v>
      </c>
      <c r="N734" s="6" t="s">
        <v>31</v>
      </c>
      <c r="O734" s="2" t="s">
        <v>32</v>
      </c>
      <c r="P734" s="8">
        <v>0</v>
      </c>
    </row>
    <row r="735" spans="1:16" x14ac:dyDescent="0.3">
      <c r="A735" s="16"/>
      <c r="B735" s="1">
        <v>734</v>
      </c>
      <c r="C735" s="1" t="s">
        <v>179</v>
      </c>
      <c r="D735" s="1">
        <v>55962372</v>
      </c>
      <c r="E735" s="1" t="s">
        <v>875</v>
      </c>
      <c r="F735" s="1" t="s">
        <v>876</v>
      </c>
      <c r="G735" s="1" t="s">
        <v>17</v>
      </c>
      <c r="H735" s="1" t="s">
        <v>18</v>
      </c>
      <c r="I735" s="1" t="s">
        <v>30</v>
      </c>
      <c r="J735" s="1" t="s">
        <v>1015</v>
      </c>
      <c r="K735" s="2" t="s">
        <v>1015</v>
      </c>
      <c r="L735" s="6">
        <v>67</v>
      </c>
      <c r="M735" s="2">
        <v>0</v>
      </c>
      <c r="N735" s="6" t="s">
        <v>31</v>
      </c>
      <c r="O735" s="2" t="s">
        <v>32</v>
      </c>
      <c r="P735" s="8">
        <v>0</v>
      </c>
    </row>
    <row r="736" spans="1:16" x14ac:dyDescent="0.3">
      <c r="A736" s="16"/>
      <c r="B736" s="1">
        <v>735</v>
      </c>
      <c r="C736" s="1" t="s">
        <v>179</v>
      </c>
      <c r="D736" s="1">
        <v>54663812</v>
      </c>
      <c r="E736" s="1" t="s">
        <v>877</v>
      </c>
      <c r="F736" s="1" t="s">
        <v>418</v>
      </c>
      <c r="G736" s="1" t="s">
        <v>17</v>
      </c>
      <c r="H736" s="1" t="s">
        <v>25</v>
      </c>
      <c r="I736" s="1" t="s">
        <v>184</v>
      </c>
      <c r="J736" s="1" t="s">
        <v>1015</v>
      </c>
      <c r="K736" s="2" t="s">
        <v>1015</v>
      </c>
      <c r="L736" s="6">
        <v>72</v>
      </c>
      <c r="M736" s="2">
        <v>1.26</v>
      </c>
      <c r="N736" s="6" t="s">
        <v>21</v>
      </c>
      <c r="O736" s="2" t="s">
        <v>22</v>
      </c>
      <c r="P736" s="8">
        <v>46000</v>
      </c>
    </row>
    <row r="737" spans="1:16" x14ac:dyDescent="0.3">
      <c r="A737" s="16"/>
      <c r="B737" s="1">
        <v>736</v>
      </c>
      <c r="C737" s="1" t="s">
        <v>179</v>
      </c>
      <c r="D737" s="1">
        <v>811303247</v>
      </c>
      <c r="E737" s="1" t="s">
        <v>1193</v>
      </c>
      <c r="F737" s="1" t="s">
        <v>1297</v>
      </c>
      <c r="G737" s="1" t="s">
        <v>17</v>
      </c>
      <c r="H737" s="1" t="s">
        <v>18</v>
      </c>
      <c r="I737" s="1" t="s">
        <v>30</v>
      </c>
      <c r="J737" s="1" t="s">
        <v>20</v>
      </c>
      <c r="K737" s="2" t="s">
        <v>20</v>
      </c>
      <c r="L737" s="6">
        <v>43</v>
      </c>
      <c r="M737" s="2">
        <v>0</v>
      </c>
      <c r="N737" s="6" t="s">
        <v>31</v>
      </c>
      <c r="O737" s="2" t="s">
        <v>32</v>
      </c>
      <c r="P737" s="8">
        <v>0</v>
      </c>
    </row>
    <row r="738" spans="1:16" x14ac:dyDescent="0.3">
      <c r="A738" s="16"/>
      <c r="B738" s="1">
        <v>737</v>
      </c>
      <c r="C738" s="1" t="s">
        <v>179</v>
      </c>
      <c r="D738" s="1">
        <v>811302676</v>
      </c>
      <c r="E738" s="1" t="s">
        <v>1194</v>
      </c>
      <c r="F738" s="1" t="s">
        <v>1298</v>
      </c>
      <c r="G738" s="1" t="s">
        <v>88</v>
      </c>
      <c r="H738" s="1" t="s">
        <v>18</v>
      </c>
      <c r="I738" s="1" t="s">
        <v>120</v>
      </c>
      <c r="J738" s="1" t="s">
        <v>20</v>
      </c>
      <c r="K738" s="2" t="s">
        <v>20</v>
      </c>
      <c r="L738" s="6">
        <v>60</v>
      </c>
      <c r="M738" s="2">
        <v>0.39</v>
      </c>
      <c r="N738" s="6" t="s">
        <v>21</v>
      </c>
      <c r="O738" s="2" t="s">
        <v>22</v>
      </c>
      <c r="P738" s="8">
        <v>17000</v>
      </c>
    </row>
    <row r="739" spans="1:16" x14ac:dyDescent="0.3">
      <c r="A739" s="16"/>
      <c r="B739" s="1">
        <v>738</v>
      </c>
      <c r="C739" s="1" t="s">
        <v>179</v>
      </c>
      <c r="D739" s="1">
        <v>811301499</v>
      </c>
      <c r="E739" s="1" t="s">
        <v>1195</v>
      </c>
      <c r="F739" s="1" t="s">
        <v>1200</v>
      </c>
      <c r="G739" s="1" t="s">
        <v>17</v>
      </c>
      <c r="H739" s="1" t="s">
        <v>18</v>
      </c>
      <c r="I739" s="1" t="s">
        <v>30</v>
      </c>
      <c r="J739" s="1" t="s">
        <v>20</v>
      </c>
      <c r="K739" s="2" t="s">
        <v>20</v>
      </c>
      <c r="L739" s="6">
        <v>39</v>
      </c>
      <c r="M739" s="2">
        <v>0</v>
      </c>
      <c r="N739" s="6" t="s">
        <v>31</v>
      </c>
      <c r="O739" s="2" t="s">
        <v>32</v>
      </c>
      <c r="P739" s="8">
        <v>0</v>
      </c>
    </row>
    <row r="740" spans="1:16" x14ac:dyDescent="0.3">
      <c r="A740" s="16"/>
      <c r="B740" s="1">
        <v>739</v>
      </c>
      <c r="C740" s="1" t="s">
        <v>179</v>
      </c>
      <c r="D740" s="1">
        <v>55442994</v>
      </c>
      <c r="E740" s="1" t="s">
        <v>878</v>
      </c>
      <c r="F740" s="1" t="s">
        <v>348</v>
      </c>
      <c r="G740" s="1" t="s">
        <v>17</v>
      </c>
      <c r="H740" s="1" t="s">
        <v>18</v>
      </c>
      <c r="I740" s="1" t="s">
        <v>19</v>
      </c>
      <c r="J740" s="1" t="s">
        <v>20</v>
      </c>
      <c r="K740" s="2" t="s">
        <v>20</v>
      </c>
      <c r="L740" s="6">
        <v>45</v>
      </c>
      <c r="M740" s="2">
        <v>4.38</v>
      </c>
      <c r="N740" s="6" t="s">
        <v>21</v>
      </c>
      <c r="O740" s="2" t="s">
        <v>41</v>
      </c>
      <c r="P740" s="8">
        <v>78000</v>
      </c>
    </row>
    <row r="741" spans="1:16" x14ac:dyDescent="0.3">
      <c r="A741" s="16"/>
      <c r="B741" s="1">
        <v>740</v>
      </c>
      <c r="C741" s="1" t="s">
        <v>179</v>
      </c>
      <c r="D741" s="1">
        <v>47916816</v>
      </c>
      <c r="E741" s="1" t="s">
        <v>1196</v>
      </c>
      <c r="F741" s="1" t="s">
        <v>1209</v>
      </c>
      <c r="G741" s="1" t="s">
        <v>17</v>
      </c>
      <c r="H741" s="1" t="s">
        <v>18</v>
      </c>
      <c r="I741" s="1" t="s">
        <v>19</v>
      </c>
      <c r="J741" s="1" t="s">
        <v>20</v>
      </c>
      <c r="K741" s="2" t="s">
        <v>20</v>
      </c>
      <c r="L741" s="6">
        <v>77</v>
      </c>
      <c r="M741" s="2">
        <v>3.14</v>
      </c>
      <c r="N741" s="6" t="s">
        <v>21</v>
      </c>
      <c r="O741" s="2" t="s">
        <v>22</v>
      </c>
      <c r="P741" s="8">
        <v>120000</v>
      </c>
    </row>
    <row r="742" spans="1:16" x14ac:dyDescent="0.3">
      <c r="A742" s="16"/>
      <c r="B742" s="1">
        <v>741</v>
      </c>
      <c r="C742" s="1" t="s">
        <v>179</v>
      </c>
      <c r="D742" s="1">
        <v>54660075</v>
      </c>
      <c r="E742" s="1" t="s">
        <v>1197</v>
      </c>
      <c r="F742" s="1" t="s">
        <v>1299</v>
      </c>
      <c r="G742" s="1" t="s">
        <v>17</v>
      </c>
      <c r="H742" s="1" t="s">
        <v>18</v>
      </c>
      <c r="I742" s="1" t="s">
        <v>120</v>
      </c>
      <c r="J742" s="1" t="s">
        <v>20</v>
      </c>
      <c r="K742" s="2" t="s">
        <v>20</v>
      </c>
      <c r="L742" s="6">
        <v>52</v>
      </c>
      <c r="M742" s="2">
        <v>0.56999999999999995</v>
      </c>
      <c r="N742" s="6" t="s">
        <v>58</v>
      </c>
      <c r="O742" s="2" t="s">
        <v>74</v>
      </c>
      <c r="P742" s="8">
        <v>30000</v>
      </c>
    </row>
    <row r="743" spans="1:16" x14ac:dyDescent="0.3">
      <c r="A743" s="16"/>
      <c r="B743" s="1">
        <v>742</v>
      </c>
      <c r="C743" s="1" t="s">
        <v>179</v>
      </c>
      <c r="D743" s="1">
        <v>54116615</v>
      </c>
      <c r="E743" s="1" t="s">
        <v>879</v>
      </c>
      <c r="F743" s="1" t="s">
        <v>880</v>
      </c>
      <c r="G743" s="1" t="s">
        <v>17</v>
      </c>
      <c r="H743" s="1" t="s">
        <v>18</v>
      </c>
      <c r="I743" s="1" t="s">
        <v>19</v>
      </c>
      <c r="J743" s="1" t="s">
        <v>20</v>
      </c>
      <c r="K743" s="2" t="s">
        <v>20</v>
      </c>
      <c r="L743" s="6">
        <v>70</v>
      </c>
      <c r="M743" s="2">
        <v>4.78</v>
      </c>
      <c r="N743" s="6" t="s">
        <v>21</v>
      </c>
      <c r="O743" s="2" t="s">
        <v>27</v>
      </c>
      <c r="P743" s="8">
        <v>158000</v>
      </c>
    </row>
  </sheetData>
  <autoFilter ref="B1:P743" xr:uid="{00000000-0009-0000-0000-000001000000}"/>
  <sortState xmlns:xlrd2="http://schemas.microsoft.com/office/spreadsheetml/2017/richdata2" ref="B2:P744">
    <sortCondition ref="B151:B744"/>
  </sortState>
  <mergeCells count="1">
    <mergeCell ref="A1:A743"/>
  </mergeCells>
  <pageMargins left="0.27559055118110237" right="0.19685039370078741" top="0.19685039370078741" bottom="0.74803149606299213" header="0.11811023622047249" footer="0.31496062992125978"/>
  <pageSetup paperSize="9" scale="10"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5"/>
  <sheetViews>
    <sheetView zoomScale="70" zoomScaleNormal="7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.44140625" customWidth="1"/>
    <col min="2" max="2" width="31" customWidth="1"/>
    <col min="3" max="3" width="115" customWidth="1"/>
  </cols>
  <sheetData>
    <row r="1" spans="1:3" x14ac:dyDescent="0.3">
      <c r="B1" s="12" t="s">
        <v>1001</v>
      </c>
      <c r="C1" s="12" t="s">
        <v>1002</v>
      </c>
    </row>
    <row r="2" spans="1:3" ht="28.8" x14ac:dyDescent="0.3">
      <c r="A2" s="11"/>
      <c r="B2" s="7" t="s">
        <v>1003</v>
      </c>
      <c r="C2" s="7" t="s">
        <v>1004</v>
      </c>
    </row>
    <row r="3" spans="1:3" ht="28.8" x14ac:dyDescent="0.3">
      <c r="A3" s="11"/>
      <c r="B3" s="7" t="s">
        <v>10</v>
      </c>
      <c r="C3" s="7" t="s">
        <v>1005</v>
      </c>
    </row>
    <row r="4" spans="1:3" ht="28.8" x14ac:dyDescent="0.3">
      <c r="A4" s="11"/>
      <c r="B4" s="7" t="s">
        <v>11</v>
      </c>
      <c r="C4" s="7" t="s">
        <v>1006</v>
      </c>
    </row>
    <row r="5" spans="1:3" ht="28.8" x14ac:dyDescent="0.3">
      <c r="A5" s="11"/>
      <c r="B5" s="7" t="s">
        <v>12</v>
      </c>
      <c r="C5" s="7" t="s">
        <v>1007</v>
      </c>
    </row>
    <row r="6" spans="1:3" ht="28.8" x14ac:dyDescent="0.3">
      <c r="A6" s="11"/>
      <c r="B6" s="7" t="s">
        <v>13</v>
      </c>
      <c r="C6" s="7" t="s">
        <v>1008</v>
      </c>
    </row>
    <row r="7" spans="1:3" ht="28.8" x14ac:dyDescent="0.3">
      <c r="A7" s="11"/>
      <c r="B7" s="7" t="s">
        <v>1009</v>
      </c>
      <c r="C7" s="7" t="s">
        <v>1010</v>
      </c>
    </row>
    <row r="8" spans="1:3" ht="28.8" x14ac:dyDescent="0.3">
      <c r="A8" s="11"/>
      <c r="B8" s="7" t="s">
        <v>1011</v>
      </c>
      <c r="C8" s="7" t="s">
        <v>1012</v>
      </c>
    </row>
    <row r="9" spans="1:3" x14ac:dyDescent="0.3">
      <c r="A9" s="11"/>
      <c r="B9" s="7" t="s">
        <v>1013</v>
      </c>
      <c r="C9" s="7" t="s">
        <v>1014</v>
      </c>
    </row>
    <row r="10" spans="1:3" x14ac:dyDescent="0.3">
      <c r="A10" s="11"/>
    </row>
    <row r="11" spans="1:3" x14ac:dyDescent="0.3">
      <c r="A11" s="11"/>
    </row>
    <row r="12" spans="1:3" x14ac:dyDescent="0.3">
      <c r="A12" s="11"/>
    </row>
    <row r="13" spans="1:3" x14ac:dyDescent="0.3">
      <c r="A13" s="11"/>
    </row>
    <row r="14" spans="1:3" x14ac:dyDescent="0.3">
      <c r="A14" s="11"/>
    </row>
    <row r="15" spans="1:3" x14ac:dyDescent="0.3">
      <c r="A15" s="11"/>
    </row>
    <row r="16" spans="1:3" x14ac:dyDescent="0.3">
      <c r="A16" s="11"/>
    </row>
    <row r="17" spans="1:1" x14ac:dyDescent="0.3">
      <c r="A17" s="11"/>
    </row>
    <row r="18" spans="1:1" x14ac:dyDescent="0.3">
      <c r="A18" s="11"/>
    </row>
    <row r="19" spans="1:1" x14ac:dyDescent="0.3">
      <c r="A19" s="11"/>
    </row>
    <row r="20" spans="1:1" x14ac:dyDescent="0.3">
      <c r="A20" s="11"/>
    </row>
    <row r="21" spans="1:1" x14ac:dyDescent="0.3">
      <c r="A21" s="11"/>
    </row>
    <row r="22" spans="1:1" x14ac:dyDescent="0.3">
      <c r="A22" s="11"/>
    </row>
    <row r="23" spans="1:1" x14ac:dyDescent="0.3">
      <c r="A23" s="11"/>
    </row>
    <row r="24" spans="1:1" x14ac:dyDescent="0.3">
      <c r="A24" s="11"/>
    </row>
    <row r="25" spans="1:1" x14ac:dyDescent="0.3">
      <c r="A25" s="11"/>
    </row>
    <row r="26" spans="1:1" x14ac:dyDescent="0.3">
      <c r="A26" s="11"/>
    </row>
    <row r="27" spans="1:1" x14ac:dyDescent="0.3">
      <c r="A27" s="11"/>
    </row>
    <row r="28" spans="1:1" x14ac:dyDescent="0.3">
      <c r="A28" s="11"/>
    </row>
    <row r="29" spans="1:1" x14ac:dyDescent="0.3">
      <c r="A29" s="11"/>
    </row>
    <row r="30" spans="1:1" x14ac:dyDescent="0.3">
      <c r="A30" s="11"/>
    </row>
    <row r="31" spans="1:1" x14ac:dyDescent="0.3">
      <c r="A31" s="11"/>
    </row>
    <row r="32" spans="1:1" x14ac:dyDescent="0.3">
      <c r="A32" s="11"/>
    </row>
    <row r="33" spans="1:1" x14ac:dyDescent="0.3">
      <c r="A33" s="11"/>
    </row>
    <row r="34" spans="1:1" x14ac:dyDescent="0.3">
      <c r="A34" s="11"/>
    </row>
    <row r="35" spans="1:1" x14ac:dyDescent="0.3">
      <c r="A35" s="11"/>
    </row>
    <row r="36" spans="1:1" x14ac:dyDescent="0.3">
      <c r="A36" s="11"/>
    </row>
    <row r="37" spans="1:1" x14ac:dyDescent="0.3">
      <c r="A37" s="11"/>
    </row>
    <row r="38" spans="1:1" x14ac:dyDescent="0.3">
      <c r="A38" s="11"/>
    </row>
    <row r="39" spans="1:1" x14ac:dyDescent="0.3">
      <c r="A39" s="11"/>
    </row>
    <row r="40" spans="1:1" x14ac:dyDescent="0.3">
      <c r="A40" s="11"/>
    </row>
    <row r="41" spans="1:1" x14ac:dyDescent="0.3">
      <c r="A41" s="11"/>
    </row>
    <row r="42" spans="1:1" x14ac:dyDescent="0.3">
      <c r="A42" s="11"/>
    </row>
    <row r="43" spans="1:1" x14ac:dyDescent="0.3">
      <c r="A43" s="11"/>
    </row>
    <row r="44" spans="1:1" x14ac:dyDescent="0.3">
      <c r="A44" s="11"/>
    </row>
    <row r="45" spans="1:1" x14ac:dyDescent="0.3">
      <c r="A45" s="11"/>
    </row>
    <row r="46" spans="1:1" x14ac:dyDescent="0.3">
      <c r="A46" s="11"/>
    </row>
    <row r="47" spans="1:1" x14ac:dyDescent="0.3">
      <c r="A47" s="11"/>
    </row>
    <row r="48" spans="1:1" x14ac:dyDescent="0.3">
      <c r="A48" s="11"/>
    </row>
    <row r="49" spans="1:1" x14ac:dyDescent="0.3">
      <c r="A49" s="11"/>
    </row>
    <row r="50" spans="1:1" x14ac:dyDescent="0.3">
      <c r="A50" s="11"/>
    </row>
    <row r="51" spans="1:1" x14ac:dyDescent="0.3">
      <c r="A51" s="11"/>
    </row>
    <row r="52" spans="1:1" x14ac:dyDescent="0.3">
      <c r="A52" s="11"/>
    </row>
    <row r="53" spans="1:1" x14ac:dyDescent="0.3">
      <c r="A53" s="11"/>
    </row>
    <row r="54" spans="1:1" x14ac:dyDescent="0.3">
      <c r="A54" s="11"/>
    </row>
    <row r="55" spans="1:1" x14ac:dyDescent="0.3">
      <c r="A55" s="11"/>
    </row>
    <row r="56" spans="1:1" x14ac:dyDescent="0.3">
      <c r="A56" s="11"/>
    </row>
    <row r="57" spans="1:1" x14ac:dyDescent="0.3">
      <c r="A57" s="11"/>
    </row>
    <row r="58" spans="1:1" x14ac:dyDescent="0.3">
      <c r="A58" s="11"/>
    </row>
    <row r="59" spans="1:1" x14ac:dyDescent="0.3">
      <c r="A59" s="11"/>
    </row>
    <row r="60" spans="1:1" x14ac:dyDescent="0.3">
      <c r="A60" s="11"/>
    </row>
    <row r="61" spans="1:1" x14ac:dyDescent="0.3">
      <c r="A61" s="11"/>
    </row>
    <row r="62" spans="1:1" x14ac:dyDescent="0.3">
      <c r="A62" s="11"/>
    </row>
    <row r="63" spans="1:1" x14ac:dyDescent="0.3">
      <c r="A63" s="11"/>
    </row>
    <row r="64" spans="1:1" x14ac:dyDescent="0.3">
      <c r="A64" s="11"/>
    </row>
    <row r="65" spans="1:1" x14ac:dyDescent="0.3">
      <c r="A65" s="11"/>
    </row>
    <row r="66" spans="1:1" x14ac:dyDescent="0.3">
      <c r="A66" s="11"/>
    </row>
    <row r="67" spans="1:1" x14ac:dyDescent="0.3">
      <c r="A67" s="11"/>
    </row>
    <row r="68" spans="1:1" x14ac:dyDescent="0.3">
      <c r="A68" s="11"/>
    </row>
    <row r="69" spans="1:1" x14ac:dyDescent="0.3">
      <c r="A69" s="11"/>
    </row>
    <row r="70" spans="1:1" x14ac:dyDescent="0.3">
      <c r="A70" s="11"/>
    </row>
    <row r="71" spans="1:1" x14ac:dyDescent="0.3">
      <c r="A71" s="11"/>
    </row>
    <row r="72" spans="1:1" x14ac:dyDescent="0.3">
      <c r="A72" s="11"/>
    </row>
    <row r="73" spans="1:1" x14ac:dyDescent="0.3">
      <c r="A73" s="11"/>
    </row>
    <row r="74" spans="1:1" x14ac:dyDescent="0.3">
      <c r="A74" s="11"/>
    </row>
    <row r="75" spans="1:1" x14ac:dyDescent="0.3">
      <c r="A75" s="11"/>
    </row>
    <row r="76" spans="1:1" x14ac:dyDescent="0.3">
      <c r="A76" s="11"/>
    </row>
    <row r="77" spans="1:1" x14ac:dyDescent="0.3">
      <c r="A77" s="11"/>
    </row>
    <row r="78" spans="1:1" x14ac:dyDescent="0.3">
      <c r="A78" s="11"/>
    </row>
    <row r="79" spans="1:1" x14ac:dyDescent="0.3">
      <c r="A79" s="11"/>
    </row>
    <row r="80" spans="1:1" x14ac:dyDescent="0.3">
      <c r="A80" s="11"/>
    </row>
    <row r="81" spans="1:1" x14ac:dyDescent="0.3">
      <c r="A81" s="11"/>
    </row>
    <row r="82" spans="1:1" x14ac:dyDescent="0.3">
      <c r="A82" s="11"/>
    </row>
    <row r="83" spans="1:1" x14ac:dyDescent="0.3">
      <c r="A83" s="11"/>
    </row>
    <row r="84" spans="1:1" x14ac:dyDescent="0.3">
      <c r="A84" s="11"/>
    </row>
    <row r="85" spans="1:1" x14ac:dyDescent="0.3">
      <c r="A85" s="11"/>
    </row>
    <row r="86" spans="1:1" x14ac:dyDescent="0.3">
      <c r="A86" s="11"/>
    </row>
    <row r="87" spans="1:1" x14ac:dyDescent="0.3">
      <c r="A87" s="11"/>
    </row>
    <row r="88" spans="1:1" x14ac:dyDescent="0.3">
      <c r="A88" s="11"/>
    </row>
    <row r="89" spans="1:1" x14ac:dyDescent="0.3">
      <c r="A89" s="11"/>
    </row>
    <row r="90" spans="1:1" x14ac:dyDescent="0.3">
      <c r="A90" s="11"/>
    </row>
    <row r="91" spans="1:1" x14ac:dyDescent="0.3">
      <c r="A91" s="11"/>
    </row>
    <row r="92" spans="1:1" x14ac:dyDescent="0.3">
      <c r="A92" s="11"/>
    </row>
    <row r="93" spans="1:1" x14ac:dyDescent="0.3">
      <c r="A93" s="11"/>
    </row>
    <row r="94" spans="1:1" x14ac:dyDescent="0.3">
      <c r="A94" s="11"/>
    </row>
    <row r="95" spans="1:1" x14ac:dyDescent="0.3">
      <c r="A95" s="11"/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7B36A-7456-4B8A-88D6-1BA6D0D5F20A}">
  <dimension ref="A1:L73"/>
  <sheetViews>
    <sheetView zoomScale="70" zoomScaleNormal="70" workbookViewId="0">
      <selection sqref="A1:A73"/>
    </sheetView>
  </sheetViews>
  <sheetFormatPr defaultRowHeight="14.4" x14ac:dyDescent="0.3"/>
  <cols>
    <col min="1" max="1" width="24.44140625" customWidth="1"/>
    <col min="3" max="3" width="22" bestFit="1" customWidth="1"/>
    <col min="4" max="4" width="23.44140625" bestFit="1" customWidth="1"/>
    <col min="5" max="5" width="21.6640625" bestFit="1" customWidth="1"/>
    <col min="6" max="6" width="22" bestFit="1" customWidth="1"/>
    <col min="7" max="7" width="15" bestFit="1" customWidth="1"/>
    <col min="8" max="8" width="19.21875" bestFit="1" customWidth="1"/>
    <col min="11" max="11" width="13.44140625" bestFit="1" customWidth="1"/>
    <col min="12" max="13" width="34.77734375" bestFit="1" customWidth="1"/>
    <col min="14" max="509" width="9.21875" bestFit="1" customWidth="1"/>
    <col min="510" max="592" width="10.33203125" bestFit="1" customWidth="1"/>
    <col min="593" max="715" width="11.33203125" bestFit="1" customWidth="1"/>
    <col min="716" max="716" width="11.44140625" bestFit="1" customWidth="1"/>
  </cols>
  <sheetData>
    <row r="1" spans="1:12" x14ac:dyDescent="0.3">
      <c r="A1" s="17"/>
    </row>
    <row r="2" spans="1:12" x14ac:dyDescent="0.3">
      <c r="A2" s="17"/>
    </row>
    <row r="3" spans="1:12" x14ac:dyDescent="0.3">
      <c r="A3" s="17"/>
      <c r="C3" s="13" t="s">
        <v>1301</v>
      </c>
      <c r="D3" t="s">
        <v>1303</v>
      </c>
      <c r="F3" s="13" t="s">
        <v>1301</v>
      </c>
      <c r="G3" t="s">
        <v>1305</v>
      </c>
      <c r="H3" t="s">
        <v>1307</v>
      </c>
      <c r="K3" s="13" t="s">
        <v>1301</v>
      </c>
      <c r="L3" t="s">
        <v>1310</v>
      </c>
    </row>
    <row r="4" spans="1:12" x14ac:dyDescent="0.3">
      <c r="A4" s="17"/>
      <c r="C4" s="5" t="s">
        <v>216</v>
      </c>
      <c r="D4">
        <v>97</v>
      </c>
      <c r="F4" s="5" t="s">
        <v>216</v>
      </c>
      <c r="G4" s="14">
        <v>6230000</v>
      </c>
      <c r="H4">
        <v>173.43999999999994</v>
      </c>
      <c r="K4" s="5" t="s">
        <v>88</v>
      </c>
      <c r="L4">
        <v>97</v>
      </c>
    </row>
    <row r="5" spans="1:12" x14ac:dyDescent="0.3">
      <c r="A5" s="17"/>
      <c r="C5" s="5" t="s">
        <v>30</v>
      </c>
      <c r="D5">
        <v>255</v>
      </c>
      <c r="F5" s="5" t="s">
        <v>30</v>
      </c>
      <c r="G5" s="14">
        <v>0</v>
      </c>
      <c r="H5">
        <v>0</v>
      </c>
      <c r="K5" s="5" t="s">
        <v>17</v>
      </c>
      <c r="L5">
        <v>645</v>
      </c>
    </row>
    <row r="6" spans="1:12" x14ac:dyDescent="0.3">
      <c r="A6" s="17"/>
      <c r="C6" s="5" t="s">
        <v>35</v>
      </c>
      <c r="D6">
        <v>10</v>
      </c>
      <c r="F6" s="5" t="s">
        <v>35</v>
      </c>
      <c r="G6" s="14">
        <v>513000</v>
      </c>
      <c r="H6">
        <v>16.2</v>
      </c>
      <c r="K6" s="5" t="s">
        <v>1302</v>
      </c>
      <c r="L6">
        <v>742</v>
      </c>
    </row>
    <row r="7" spans="1:12" x14ac:dyDescent="0.3">
      <c r="A7" s="17"/>
      <c r="C7" s="5" t="s">
        <v>1304</v>
      </c>
      <c r="D7">
        <v>1</v>
      </c>
      <c r="F7" s="5" t="s">
        <v>1304</v>
      </c>
      <c r="G7" s="14">
        <v>16000</v>
      </c>
      <c r="H7">
        <v>0.66</v>
      </c>
    </row>
    <row r="8" spans="1:12" x14ac:dyDescent="0.3">
      <c r="A8" s="17"/>
      <c r="C8" s="5" t="s">
        <v>184</v>
      </c>
      <c r="D8">
        <v>81</v>
      </c>
      <c r="F8" s="5" t="s">
        <v>184</v>
      </c>
      <c r="G8" s="14">
        <v>5981000</v>
      </c>
      <c r="H8">
        <v>155.26999999999995</v>
      </c>
    </row>
    <row r="9" spans="1:12" x14ac:dyDescent="0.3">
      <c r="A9" s="17"/>
      <c r="C9" s="5" t="s">
        <v>19</v>
      </c>
      <c r="D9">
        <v>185</v>
      </c>
      <c r="F9" s="5" t="s">
        <v>19</v>
      </c>
      <c r="G9" s="14">
        <v>17615000</v>
      </c>
      <c r="H9">
        <v>448.23000000000013</v>
      </c>
    </row>
    <row r="10" spans="1:12" x14ac:dyDescent="0.3">
      <c r="A10" s="17"/>
      <c r="C10" s="5" t="s">
        <v>26</v>
      </c>
      <c r="D10">
        <v>44</v>
      </c>
      <c r="F10" s="5" t="s">
        <v>26</v>
      </c>
      <c r="G10" s="14">
        <v>4266000</v>
      </c>
      <c r="H10">
        <v>111.81000000000002</v>
      </c>
    </row>
    <row r="11" spans="1:12" x14ac:dyDescent="0.3">
      <c r="A11" s="17"/>
      <c r="C11" s="5" t="s">
        <v>120</v>
      </c>
      <c r="D11">
        <v>69</v>
      </c>
      <c r="F11" s="5" t="s">
        <v>120</v>
      </c>
      <c r="G11" s="14">
        <v>4122000</v>
      </c>
      <c r="H11">
        <v>116.23000000000002</v>
      </c>
    </row>
    <row r="12" spans="1:12" x14ac:dyDescent="0.3">
      <c r="A12" s="17"/>
      <c r="C12" s="5" t="s">
        <v>1302</v>
      </c>
      <c r="D12">
        <v>742</v>
      </c>
      <c r="F12" s="5" t="s">
        <v>1302</v>
      </c>
      <c r="G12" s="14">
        <v>38743000</v>
      </c>
      <c r="H12">
        <v>1021.84</v>
      </c>
    </row>
    <row r="13" spans="1:12" x14ac:dyDescent="0.3">
      <c r="A13" s="17"/>
    </row>
    <row r="14" spans="1:12" x14ac:dyDescent="0.3">
      <c r="A14" s="17"/>
    </row>
    <row r="15" spans="1:12" x14ac:dyDescent="0.3">
      <c r="A15" s="17"/>
      <c r="G15" s="13" t="s">
        <v>1301</v>
      </c>
      <c r="H15" t="s">
        <v>1311</v>
      </c>
      <c r="K15" s="13" t="s">
        <v>1301</v>
      </c>
      <c r="L15" t="s">
        <v>1312</v>
      </c>
    </row>
    <row r="16" spans="1:12" x14ac:dyDescent="0.3">
      <c r="A16" s="17"/>
      <c r="C16" s="15" t="s">
        <v>1309</v>
      </c>
      <c r="G16" s="5" t="s">
        <v>55</v>
      </c>
      <c r="H16">
        <v>34</v>
      </c>
      <c r="K16" s="5" t="s">
        <v>58</v>
      </c>
      <c r="L16">
        <v>77</v>
      </c>
    </row>
    <row r="17" spans="1:12" x14ac:dyDescent="0.3">
      <c r="A17" s="17"/>
      <c r="C17" s="8" t="s">
        <v>1306</v>
      </c>
      <c r="D17" s="9" t="s">
        <v>1300</v>
      </c>
      <c r="E17" s="9" t="s">
        <v>1308</v>
      </c>
      <c r="G17" s="5" t="s">
        <v>195</v>
      </c>
      <c r="H17">
        <v>26</v>
      </c>
      <c r="K17" s="5" t="s">
        <v>31</v>
      </c>
      <c r="L17">
        <v>255</v>
      </c>
    </row>
    <row r="18" spans="1:12" x14ac:dyDescent="0.3">
      <c r="A18" s="17"/>
      <c r="C18" s="8">
        <f>AVERAGE(dataset!P2:P743)</f>
        <v>52214.285714285717</v>
      </c>
      <c r="D18" s="9">
        <f>COUNTA(dataset!C:C)-1</f>
        <v>742</v>
      </c>
      <c r="E18" s="9">
        <f>AVERAGE(H4:H11)</f>
        <v>127.73</v>
      </c>
      <c r="G18" s="5" t="s">
        <v>361</v>
      </c>
      <c r="H18">
        <v>12</v>
      </c>
      <c r="K18" s="5" t="s">
        <v>21</v>
      </c>
      <c r="L18">
        <v>371</v>
      </c>
    </row>
    <row r="19" spans="1:12" x14ac:dyDescent="0.3">
      <c r="A19" s="17"/>
      <c r="G19" s="5" t="s">
        <v>32</v>
      </c>
      <c r="H19">
        <v>255</v>
      </c>
      <c r="K19" s="5" t="s">
        <v>36</v>
      </c>
      <c r="L19">
        <v>39</v>
      </c>
    </row>
    <row r="20" spans="1:12" x14ac:dyDescent="0.3">
      <c r="A20" s="17"/>
      <c r="G20" s="5" t="s">
        <v>22</v>
      </c>
      <c r="H20">
        <v>201</v>
      </c>
      <c r="K20" s="5" t="s">
        <v>1302</v>
      </c>
      <c r="L20">
        <v>742</v>
      </c>
    </row>
    <row r="21" spans="1:12" x14ac:dyDescent="0.3">
      <c r="A21" s="17"/>
      <c r="G21" s="5" t="s">
        <v>27</v>
      </c>
      <c r="H21">
        <v>80</v>
      </c>
    </row>
    <row r="22" spans="1:12" x14ac:dyDescent="0.3">
      <c r="A22" s="17"/>
      <c r="G22" s="5" t="s">
        <v>41</v>
      </c>
      <c r="H22">
        <v>65</v>
      </c>
    </row>
    <row r="23" spans="1:12" x14ac:dyDescent="0.3">
      <c r="A23" s="17"/>
      <c r="G23" s="5" t="s">
        <v>74</v>
      </c>
      <c r="H23">
        <v>30</v>
      </c>
    </row>
    <row r="24" spans="1:12" x14ac:dyDescent="0.3">
      <c r="A24" s="17"/>
      <c r="G24" s="5" t="s">
        <v>59</v>
      </c>
      <c r="H24">
        <v>39</v>
      </c>
    </row>
    <row r="25" spans="1:12" x14ac:dyDescent="0.3">
      <c r="A25" s="17"/>
      <c r="G25" s="5" t="s">
        <v>1302</v>
      </c>
      <c r="H25">
        <v>742</v>
      </c>
    </row>
    <row r="26" spans="1:12" x14ac:dyDescent="0.3">
      <c r="A26" s="17"/>
    </row>
    <row r="27" spans="1:12" x14ac:dyDescent="0.3">
      <c r="A27" s="17"/>
    </row>
    <row r="28" spans="1:12" x14ac:dyDescent="0.3">
      <c r="A28" s="17"/>
    </row>
    <row r="29" spans="1:12" x14ac:dyDescent="0.3">
      <c r="A29" s="17"/>
    </row>
    <row r="30" spans="1:12" x14ac:dyDescent="0.3">
      <c r="A30" s="17"/>
    </row>
    <row r="31" spans="1:12" x14ac:dyDescent="0.3">
      <c r="A31" s="17"/>
    </row>
    <row r="32" spans="1:12" x14ac:dyDescent="0.3">
      <c r="A32" s="17"/>
    </row>
    <row r="33" spans="1:1" x14ac:dyDescent="0.3">
      <c r="A33" s="17"/>
    </row>
    <row r="34" spans="1:1" x14ac:dyDescent="0.3">
      <c r="A34" s="17"/>
    </row>
    <row r="35" spans="1:1" x14ac:dyDescent="0.3">
      <c r="A35" s="17"/>
    </row>
    <row r="36" spans="1:1" x14ac:dyDescent="0.3">
      <c r="A36" s="17"/>
    </row>
    <row r="37" spans="1:1" x14ac:dyDescent="0.3">
      <c r="A37" s="17"/>
    </row>
    <row r="38" spans="1:1" x14ac:dyDescent="0.3">
      <c r="A38" s="17"/>
    </row>
    <row r="39" spans="1:1" x14ac:dyDescent="0.3">
      <c r="A39" s="17"/>
    </row>
    <row r="40" spans="1:1" x14ac:dyDescent="0.3">
      <c r="A40" s="17"/>
    </row>
    <row r="41" spans="1:1" x14ac:dyDescent="0.3">
      <c r="A41" s="17"/>
    </row>
    <row r="42" spans="1:1" x14ac:dyDescent="0.3">
      <c r="A42" s="17"/>
    </row>
    <row r="43" spans="1:1" x14ac:dyDescent="0.3">
      <c r="A43" s="17"/>
    </row>
    <row r="44" spans="1:1" x14ac:dyDescent="0.3">
      <c r="A44" s="17"/>
    </row>
    <row r="45" spans="1:1" x14ac:dyDescent="0.3">
      <c r="A45" s="17"/>
    </row>
    <row r="46" spans="1:1" x14ac:dyDescent="0.3">
      <c r="A46" s="17"/>
    </row>
    <row r="47" spans="1:1" x14ac:dyDescent="0.3">
      <c r="A47" s="17"/>
    </row>
    <row r="48" spans="1:1" x14ac:dyDescent="0.3">
      <c r="A48" s="17"/>
    </row>
    <row r="49" spans="1:1" x14ac:dyDescent="0.3">
      <c r="A49" s="17"/>
    </row>
    <row r="50" spans="1:1" x14ac:dyDescent="0.3">
      <c r="A50" s="17"/>
    </row>
    <row r="51" spans="1:1" x14ac:dyDescent="0.3">
      <c r="A51" s="17"/>
    </row>
    <row r="52" spans="1:1" x14ac:dyDescent="0.3">
      <c r="A52" s="17"/>
    </row>
    <row r="53" spans="1:1" x14ac:dyDescent="0.3">
      <c r="A53" s="17"/>
    </row>
    <row r="54" spans="1:1" x14ac:dyDescent="0.3">
      <c r="A54" s="17"/>
    </row>
    <row r="55" spans="1:1" x14ac:dyDescent="0.3">
      <c r="A55" s="17"/>
    </row>
    <row r="56" spans="1:1" x14ac:dyDescent="0.3">
      <c r="A56" s="17"/>
    </row>
    <row r="57" spans="1:1" x14ac:dyDescent="0.3">
      <c r="A57" s="17"/>
    </row>
    <row r="58" spans="1:1" x14ac:dyDescent="0.3">
      <c r="A58" s="17"/>
    </row>
    <row r="59" spans="1:1" x14ac:dyDescent="0.3">
      <c r="A59" s="17"/>
    </row>
    <row r="60" spans="1:1" x14ac:dyDescent="0.3">
      <c r="A60" s="17"/>
    </row>
    <row r="61" spans="1:1" x14ac:dyDescent="0.3">
      <c r="A61" s="17"/>
    </row>
    <row r="62" spans="1:1" x14ac:dyDescent="0.3">
      <c r="A62" s="17"/>
    </row>
    <row r="63" spans="1:1" x14ac:dyDescent="0.3">
      <c r="A63" s="17"/>
    </row>
    <row r="64" spans="1:1" x14ac:dyDescent="0.3">
      <c r="A64" s="17"/>
    </row>
    <row r="65" spans="1:1" x14ac:dyDescent="0.3">
      <c r="A65" s="17"/>
    </row>
    <row r="66" spans="1:1" x14ac:dyDescent="0.3">
      <c r="A66" s="17"/>
    </row>
    <row r="67" spans="1:1" x14ac:dyDescent="0.3">
      <c r="A67" s="17"/>
    </row>
    <row r="68" spans="1:1" x14ac:dyDescent="0.3">
      <c r="A68" s="17"/>
    </row>
    <row r="69" spans="1:1" x14ac:dyDescent="0.3">
      <c r="A69" s="17"/>
    </row>
    <row r="70" spans="1:1" x14ac:dyDescent="0.3">
      <c r="A70" s="17"/>
    </row>
    <row r="71" spans="1:1" x14ac:dyDescent="0.3">
      <c r="A71" s="17"/>
    </row>
    <row r="72" spans="1:1" x14ac:dyDescent="0.3">
      <c r="A72" s="17"/>
    </row>
    <row r="73" spans="1:1" x14ac:dyDescent="0.3">
      <c r="A73" s="17"/>
    </row>
  </sheetData>
  <mergeCells count="1">
    <mergeCell ref="A1:A73"/>
  </mergeCell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daskboard</vt:lpstr>
      <vt:lpstr>dataset</vt:lpstr>
      <vt:lpstr>Data Notes</vt:lpstr>
      <vt:lpstr>insight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Abhay Bisen</cp:lastModifiedBy>
  <dcterms:created xsi:type="dcterms:W3CDTF">2006-09-16T00:00:00Z</dcterms:created>
  <dcterms:modified xsi:type="dcterms:W3CDTF">2026-10-29T10:45:23Z</dcterms:modified>
</cp:coreProperties>
</file>